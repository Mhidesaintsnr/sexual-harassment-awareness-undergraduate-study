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4c8dea47e3851990/Documents/"/>
    </mc:Choice>
  </mc:AlternateContent>
  <xr:revisionPtr revIDLastSave="31" documentId="8_{96E7D15C-5EA1-40C1-822E-8D4BAEB31010}" xr6:coauthVersionLast="47" xr6:coauthVersionMax="47" xr10:uidLastSave="{2D99A07A-8510-4AE4-8DC3-FE421E35CF74}"/>
  <bookViews>
    <workbookView xWindow="-110" yWindow="-110" windowWidth="19420" windowHeight="10560" xr2:uid="{6C5F5444-0967-4937-9304-7D2FE5E4EB47}"/>
  </bookViews>
  <sheets>
    <sheet name="Raw_Data" sheetId="3" r:id="rId1"/>
    <sheet name="Cleaned_data" sheetId="2" r:id="rId2"/>
    <sheet name="Pivot Tables" sheetId="1" r:id="rId3"/>
    <sheet name="Dashboard" sheetId="5" r:id="rId4"/>
    <sheet name="sketch" sheetId="4" r:id="rId5"/>
  </sheets>
  <definedNames>
    <definedName name="ExternalData_1" localSheetId="1" hidden="1">Cleaned_data!$A$1:$T$202</definedName>
    <definedName name="ExternalData_1" localSheetId="0" hidden="1">Raw_Data!$A$1:$V$205</definedName>
    <definedName name="Slicer_Anonymity_Influence">#N/A</definedName>
    <definedName name="Slicer_Awareness_Of_Reporting_Channels">#N/A</definedName>
    <definedName name="Slicer_Awareness_Of_Reporting_Channels1">#N/A</definedName>
    <definedName name="Slicer_Can_official_Channel_Encourage_Students?">#N/A</definedName>
    <definedName name="Slicer_Exposure_to_sexual_awareness">#N/A</definedName>
    <definedName name="Slicer_Level_Of_Awareness">#N/A</definedName>
    <definedName name="Slicer_Reporting_Channel_Willingnes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1" l="1"/>
  <c r="H17" i="1"/>
  <c r="H11" i="1"/>
  <c r="H19" i="1"/>
  <c r="H13" i="1"/>
  <c r="H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EB21C-4BC5-4C08-B02E-419E4B9050CA}" keepAlive="1" name="Query - INFLUENCE OF SOCIAL MEDIA ON THE AWARENESS OF CHANNELS OF REPORTAGE OF SEXUA (2)" description="Connection to the 'INFLUENCE OF SOCIAL MEDIA ON THE AWARENESS OF CHANNELS OF REPORTAGE OF SEXUA (2)' query in the workbook." type="5" refreshedVersion="8" background="1" saveData="1">
    <dbPr connection="Provider=Microsoft.Mashup.OleDb.1;Data Source=$Workbook$;Location=&quot;INFLUENCE OF SOCIAL MEDIA ON THE AWARENESS OF CHANNELS OF REPORTAGE OF SEXUA (2)&quot;;Extended Properties=&quot;&quot;" command="SELECT * FROM [INFLUENCE OF SOCIAL MEDIA ON THE AWARENESS OF CHANNELS OF REPORTAGE OF SEXUA (2)]"/>
  </connection>
  <connection id="2" xr16:uid="{3EE8B3E4-7610-49E6-AC25-D84A94C3FA6A}" keepAlive="1" name="Query - INFLUENCE OF SOCIAL MEDIA ON THE AWARENESS OF CHANNELS OF REPORTAGE OF SEXUAL HA" description="Connection to the 'INFLUENCE OF SOCIAL MEDIA ON THE AWARENESS OF CHANNELS OF REPORTAGE OF SEXUAL HA' query in the workbook." type="5" refreshedVersion="8" background="1" saveData="1">
    <dbPr connection="Provider=Microsoft.Mashup.OleDb.1;Data Source=$Workbook$;Location=&quot;INFLUENCE OF SOCIAL MEDIA ON THE AWARENESS OF CHANNELS OF REPORTAGE OF SEXUAL HA&quot;;Extended Properties=&quot;&quot;" command="SELECT * FROM [INFLUENCE OF SOCIAL MEDIA ON THE AWARENESS OF CHANNELS OF REPORTAGE OF SEXUAL HA]"/>
  </connection>
</connections>
</file>

<file path=xl/sharedStrings.xml><?xml version="1.0" encoding="utf-8"?>
<sst xmlns="http://schemas.openxmlformats.org/spreadsheetml/2006/main" count="8662" uniqueCount="388">
  <si>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</si>
  <si>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</si>
  <si>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</si>
  <si>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</si>
  <si>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</si>
  <si>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</si>
  <si>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</si>
  <si>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</si>
  <si>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</si>
  <si>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</si>
  <si>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</si>
  <si>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</si>
  <si>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</si>
  <si>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</si>
  <si>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</si>
  <si>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</si>
  <si>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</si>
  <si>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</si>
  <si>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</si>
  <si>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</si>
  <si>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</si>
  <si>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</si>
  <si>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Timestamp</t>
  </si>
  <si>
    <t>PARTICIPANT INFORMATION AND CONSENT
Please read the information below before proceeding.
You are invited to participate in this research titled "Influence of Social Media on the Awareness of Channels of Reportage of Sexual Harassment among Lagos State University Undergraduates." The study is being conducted by Akpan Ruth Sunday, a final-year student in the Department of Mass Communication, Lagos State University, in partial fulfilment of the requirements for the award of a Bachelor of Science (B.Sc.) degree.
Your participation is entirely voluntary. You may choose not to participate or stop completing the questionnaire at any time before submitting your responses. No personally identifiable information will be collected, and all information provided will be treated with strict confidentiality and used solely for academic research purposes.
Consent:-</t>
  </si>
  <si>
    <t>Section A: Demographic Information
1. Gender</t>
  </si>
  <si>
    <t>2. Age Range</t>
  </si>
  <si>
    <t>3. Level of Study</t>
  </si>
  <si>
    <t>Section B: Awareness of Reporting Channels (RQ1)
4. Have you ever heard of sexual harassment reporting channels in Lagos State University?</t>
  </si>
  <si>
    <t>5. How would you rate your level of awareness of these reporting channels?</t>
  </si>
  <si>
    <t>6. Which of the following reporting channels are you aware of? (Select all that apply)</t>
  </si>
  <si>
    <t>7. How did you first learn about these reporting channels?</t>
  </si>
  <si>
    <t>Section C: University Social Media Communication &amp; Awareness (RQ2)
8. Which social media platform(s) used by the University do you interact with regularly? (Select all that apply)</t>
  </si>
  <si>
    <t>9. Have you ever seen content about sexual harassment awareness on the University's social media platforms?</t>
  </si>
  <si>
    <t>10. If yes, on which University platform did you mostly see such content?</t>
  </si>
  <si>
    <t>11. How clearly does the University use social media to communicate official reporting channels?</t>
  </si>
  <si>
    <t>12. How effective do you think the University's social media is in creating awareness about reporting channels?</t>
  </si>
  <si>
    <t>Section D: Willingness to Use University Reporting Channels (RQ3)
13. Would you be willing to report sexual harassment through Lagos State University's official channels?</t>
  </si>
  <si>
    <t>14. How comfortable would you feel using Lagos State University's official reporting channels?</t>
  </si>
  <si>
    <t>15. Do you think the University's social media can encourage students to report sexual harassment?</t>
  </si>
  <si>
    <t>16. Do you think students have enough information from the University's social media about how to report sexual harassment in Lagos State University?</t>
  </si>
  <si>
    <t>17. Have you ever searched for information online on how to report sexual harassment at Lagos State University?</t>
  </si>
  <si>
    <t>18. How trustworthy do you find information about reporting channels shared on the University's official social media?</t>
  </si>
  <si>
    <t>19. Do you believe anonymity (being able to report without revealing identity) on University reporting platforms would increase your willingness to report?</t>
  </si>
  <si>
    <t>20. Have you ever engaged with (liked, commented, shared) sexual harassment awareness content posted on Lagos State University's official social media accounts?</t>
  </si>
  <si>
    <t>2026/06/03 9:40:08 AM GMT+1</t>
  </si>
  <si>
    <t>Female</t>
  </si>
  <si>
    <t/>
  </si>
  <si>
    <t>20 -23</t>
  </si>
  <si>
    <t>100 Level</t>
  </si>
  <si>
    <t>No</t>
  </si>
  <si>
    <t>Very high</t>
  </si>
  <si>
    <t>School authorities (e.g,lecturers, HOD)</t>
  </si>
  <si>
    <t>Social media</t>
  </si>
  <si>
    <t>WhatsApp</t>
  </si>
  <si>
    <t>I have not seen any</t>
  </si>
  <si>
    <t>Very clearly</t>
  </si>
  <si>
    <t>Very effective</t>
  </si>
  <si>
    <t>Yes</t>
  </si>
  <si>
    <t>Very comfortable</t>
  </si>
  <si>
    <t>Very trustworthy</t>
  </si>
  <si>
    <t>2026/06/03 9:47:18 AM GMT+1</t>
  </si>
  <si>
    <t>Male</t>
  </si>
  <si>
    <t>24 -27</t>
  </si>
  <si>
    <t>500 Level</t>
  </si>
  <si>
    <t>Low</t>
  </si>
  <si>
    <t>Neutral</t>
  </si>
  <si>
    <t>Comfortable</t>
  </si>
  <si>
    <t>2026/06/03 9:48:24 AM GMT+1</t>
  </si>
  <si>
    <t>Moderate</t>
  </si>
  <si>
    <t>Lecturers</t>
  </si>
  <si>
    <t>Tik Tok</t>
  </si>
  <si>
    <t>Unclearly</t>
  </si>
  <si>
    <t>Ineffective</t>
  </si>
  <si>
    <t>2026/06/03 9:49:35 AM GMT+1</t>
  </si>
  <si>
    <t>400 level</t>
  </si>
  <si>
    <t>I'm not aware of any</t>
  </si>
  <si>
    <t>Twitter(X)</t>
  </si>
  <si>
    <t>Facebook</t>
  </si>
  <si>
    <t>Effective</t>
  </si>
  <si>
    <t>2026/06/03 9:51:33 AM GMT+1</t>
  </si>
  <si>
    <t>300 Level</t>
  </si>
  <si>
    <t>Friends/peers</t>
  </si>
  <si>
    <t>Twitter (X)</t>
  </si>
  <si>
    <t>Trustworthy</t>
  </si>
  <si>
    <t>2026/06/03 9:51:55 AM GMT+1</t>
  </si>
  <si>
    <t>Sexual and gender-based violence officers in faculties</t>
  </si>
  <si>
    <t>School orientation</t>
  </si>
  <si>
    <t>Instagram</t>
  </si>
  <si>
    <t>Not sure</t>
  </si>
  <si>
    <t>2026/06/03 9:56:55 AM GMT+1</t>
  </si>
  <si>
    <t>2026/06/03 9:57:19 AM GMT+1</t>
  </si>
  <si>
    <t>2026/06/03 9:59:04 AM GMT+1</t>
  </si>
  <si>
    <t>NGOs/helplines</t>
  </si>
  <si>
    <t>2026/06/03 10:03:35 AM GMT+1</t>
  </si>
  <si>
    <t>16 -19</t>
  </si>
  <si>
    <t>Online complaint portals</t>
  </si>
  <si>
    <t>Clearly</t>
  </si>
  <si>
    <t>Neutral;Ineffective</t>
  </si>
  <si>
    <t>2026/06/03 10:03:54 AM GMT+1</t>
  </si>
  <si>
    <t>Others</t>
  </si>
  <si>
    <t>TikTok</t>
  </si>
  <si>
    <t>2026/06/03 10:03:59 AM GMT+1</t>
  </si>
  <si>
    <t>High</t>
  </si>
  <si>
    <t>2026/06/03 10:05:10 AM GMT+1</t>
  </si>
  <si>
    <t>28 and above</t>
  </si>
  <si>
    <t>Uncomfortable</t>
  </si>
  <si>
    <t>Untrustworthy</t>
  </si>
  <si>
    <t>2026/06/03 10:07:21 AM GMT+1</t>
  </si>
  <si>
    <t>2026/06/03 10:09:33 AM GMT+1</t>
  </si>
  <si>
    <t>Very low</t>
  </si>
  <si>
    <t>Very unclearly</t>
  </si>
  <si>
    <t>Very ineffective</t>
  </si>
  <si>
    <t>2026/06/03 10:13:41 AM GMT+1</t>
  </si>
  <si>
    <t>2026/06/03 10:22:34 AM GMT+1</t>
  </si>
  <si>
    <t>2026/06/03 10:23:47 AM GMT+1</t>
  </si>
  <si>
    <t>2026/06/03 10:23:53 AM GMT+1</t>
  </si>
  <si>
    <t>2026/06/03 10:44:08 AM GMT+1</t>
  </si>
  <si>
    <t>Social media;Friends/peers;School orientation</t>
  </si>
  <si>
    <t>2026/06/03 10:48:53 AM GMT+1</t>
  </si>
  <si>
    <t>2026/06/03 11:00:48 AM GMT+1</t>
  </si>
  <si>
    <t>200 Level</t>
  </si>
  <si>
    <t>2026/06/03 11:08:48 AM GMT+1</t>
  </si>
  <si>
    <t>2026/06/03 11:11:04 AM GMT+1</t>
  </si>
  <si>
    <t>Level advisers</t>
  </si>
  <si>
    <t>2026/06/03 11:28:00 AM GMT+1</t>
  </si>
  <si>
    <t>2026/06/03 11:43:30 AM GMT+1</t>
  </si>
  <si>
    <t>Very uncomfortable</t>
  </si>
  <si>
    <t>2026/06/03 11:53:44 AM GMT+1</t>
  </si>
  <si>
    <t>2026/06/03 12:37:06 PM GMT+1</t>
  </si>
  <si>
    <t>2026/06/03 12:59:40 PM GMT+1</t>
  </si>
  <si>
    <t>2026/06/03 1:02:36 PM GMT+1</t>
  </si>
  <si>
    <t>2026/06/03 1:52:49 PM GMT+1</t>
  </si>
  <si>
    <t>2026/06/03 2:01:53 PM GMT+1</t>
  </si>
  <si>
    <t>Very untrustworthy</t>
  </si>
  <si>
    <t>2026/06/03 3:40:30 PM GMT+1</t>
  </si>
  <si>
    <t>2026/06/03 5:38:09 PM GMT+1</t>
  </si>
  <si>
    <t>Social media;Friends/peers</t>
  </si>
  <si>
    <t>Trustworthy;Neutral</t>
  </si>
  <si>
    <t>2026/06/03 7:42:37 PM GMT+1</t>
  </si>
  <si>
    <t>2026/06/03 8:37:37 PM GMT+1</t>
  </si>
  <si>
    <t>2026/06/03 9:43:09 PM GMT+1</t>
  </si>
  <si>
    <t>2026/06/04 9:33:50 AM GMT+1</t>
  </si>
  <si>
    <t>2026/06/04 9:47:22 PM GMT+1</t>
  </si>
  <si>
    <t>2026/06/05 8:33:13 AM GMT+1</t>
  </si>
  <si>
    <t>2026/06/05 9:26:29 AM GMT+1</t>
  </si>
  <si>
    <t>2026/06/05 1:48:46 PM GMT+1</t>
  </si>
  <si>
    <t>No;Not sure</t>
  </si>
  <si>
    <t>2026/06/05 2:46:22 PM GMT+1</t>
  </si>
  <si>
    <t>2026/06/06 1:04:40 PM GMT+1</t>
  </si>
  <si>
    <t>Effective;Neutral</t>
  </si>
  <si>
    <t>2026/06/08 3:42:35 PM GMT+1</t>
  </si>
  <si>
    <t>2026/06/08 3:47:59 PM GMT+1</t>
  </si>
  <si>
    <t>Yes;No</t>
  </si>
  <si>
    <t>2026/06/08 3:49:00 PM GMT+1</t>
  </si>
  <si>
    <t>2026/06/08 3:49:29 PM GMT+1</t>
  </si>
  <si>
    <t>2026/06/08 3:50:03 PM GMT+1</t>
  </si>
  <si>
    <t>2026/06/08 3:50:14 PM GMT+1</t>
  </si>
  <si>
    <t>100 Level;200 Level</t>
  </si>
  <si>
    <t>2026/06/08 3:53:38 PM GMT+1</t>
  </si>
  <si>
    <t>School orientation;Lecturers</t>
  </si>
  <si>
    <t>2026/06/08 3:54:44 PM GMT+1</t>
  </si>
  <si>
    <t>2026/06/08 3:59:54 PM GMT+1</t>
  </si>
  <si>
    <t>2026/06/08 4:03:14 PM GMT+1</t>
  </si>
  <si>
    <t>2026/06/08 4:06:59 PM GMT+1</t>
  </si>
  <si>
    <t>2026/06/08 4:07:36 PM GMT+1</t>
  </si>
  <si>
    <t>2026/06/08 4:16:19 PM GMT+1</t>
  </si>
  <si>
    <t>High;Moderate</t>
  </si>
  <si>
    <t>2026/06/08 4:16:55 PM GMT+1</t>
  </si>
  <si>
    <t>2026/06/08 4:25:52 PM GMT+1</t>
  </si>
  <si>
    <t>2026/06/08 4:31:22 PM GMT+1</t>
  </si>
  <si>
    <t>2026/06/08 4:36:58 PM GMT+1</t>
  </si>
  <si>
    <t>2026/06/08 4:48:55 PM GMT+1</t>
  </si>
  <si>
    <t>2026/06/08 4:50:18 PM GMT+1</t>
  </si>
  <si>
    <t>2026/06/08 4:51:58 PM GMT+1</t>
  </si>
  <si>
    <t>2026/06/08 4:53:28 PM GMT+1</t>
  </si>
  <si>
    <t>2026/06/08 4:55:57 PM GMT+1</t>
  </si>
  <si>
    <t>2026/06/08 5:18:48 PM GMT+1</t>
  </si>
  <si>
    <t>Clearly;Neutral;Very unclearly</t>
  </si>
  <si>
    <t>2026/06/08 5:41:45 PM GMT+1</t>
  </si>
  <si>
    <t>Very trustworthy;Untrustworthy</t>
  </si>
  <si>
    <t>2026/06/08 5:43:58 PM GMT+1</t>
  </si>
  <si>
    <t>2026/06/08 5:44:14 PM GMT+1</t>
  </si>
  <si>
    <t>Very comfortable;Neutral</t>
  </si>
  <si>
    <t>2026/06/08 5:46:11 PM GMT+1</t>
  </si>
  <si>
    <t>Prefer not to say</t>
  </si>
  <si>
    <t>2026/06/08 6:00:22 PM GMT+1</t>
  </si>
  <si>
    <t>2026/06/08 6:01:16 PM GMT+1</t>
  </si>
  <si>
    <t>2026/06/08 6:14:12 PM GMT+1</t>
  </si>
  <si>
    <t>Ineffective;Very ineffective</t>
  </si>
  <si>
    <t>2026/06/08 6:16:46 PM GMT+1</t>
  </si>
  <si>
    <t>2026/06/08 6:44:37 PM GMT+1</t>
  </si>
  <si>
    <t>16 -19;20 -23</t>
  </si>
  <si>
    <t>2026/06/08 6:58:04 PM GMT+1</t>
  </si>
  <si>
    <t>WhatsApp;Twitter (X)</t>
  </si>
  <si>
    <t>2026/06/08 6:59:19 PM GMT+1</t>
  </si>
  <si>
    <t>Yes;Not sure</t>
  </si>
  <si>
    <t>2026/06/08 7:08:50 PM GMT+1</t>
  </si>
  <si>
    <t>2026/06/08 8:13:31 PM GMT+1</t>
  </si>
  <si>
    <t>2026/06/09 4:19:11 AM GMT+1</t>
  </si>
  <si>
    <t>2026/06/09 8:24:45 AM GMT+1</t>
  </si>
  <si>
    <t>2026/06/09 9:05:18 AM GMT+1</t>
  </si>
  <si>
    <t>2026/06/09 9:56:14 AM GMT+1</t>
  </si>
  <si>
    <t>2026/06/09 10:05:15 AM GMT+1</t>
  </si>
  <si>
    <t>2026/06/09 1:20:53 PM GMT+1</t>
  </si>
  <si>
    <t>Social media;Friends/peers;School orientation;Lecturers;Level advisers</t>
  </si>
  <si>
    <t>2026/06/10 7:13:54 AM GMT+1</t>
  </si>
  <si>
    <t>2026/06/11 10:18:44 PM GMT+1</t>
  </si>
  <si>
    <t>2026/06/16 8:03:32 PM GMT+1</t>
  </si>
  <si>
    <t>2026/06/21 1:35:39 PM GMT+1</t>
  </si>
  <si>
    <t>Male;Prefer not to say</t>
  </si>
  <si>
    <t>2026/06/21 1:35:44 PM GMT+1</t>
  </si>
  <si>
    <t>2026/06/21 1:37:00 PM GMT+1</t>
  </si>
  <si>
    <t>2026/06/21 1:37:50 PM GMT+1</t>
  </si>
  <si>
    <t>2026/06/21 1:40:37 PM GMT+1</t>
  </si>
  <si>
    <t>2026/06/21 1:44:04 PM GMT+1</t>
  </si>
  <si>
    <t>2026/06/21 1:46:31 PM GMT+1</t>
  </si>
  <si>
    <t>2026/06/21 2:57:56 PM GMT+1</t>
  </si>
  <si>
    <t>2026/06/21 3:19:06 PM GMT+1</t>
  </si>
  <si>
    <t>2026/06/21 4:05:46 PM GMT+1</t>
  </si>
  <si>
    <t>2026/06/21 5:06:16 PM GMT+1</t>
  </si>
  <si>
    <t>2026/06/21 5:09:24 PM GMT+1</t>
  </si>
  <si>
    <t>Clearly;Neutral</t>
  </si>
  <si>
    <t>2026/06/21 5:24:45 PM GMT+1</t>
  </si>
  <si>
    <t>2026/06/21 5:25:24 PM GMT+1</t>
  </si>
  <si>
    <t>2026/06/21 5:51:05 PM GMT+1</t>
  </si>
  <si>
    <t>Instagram;Twitter (X)</t>
  </si>
  <si>
    <t>Very comfortable;Comfortable</t>
  </si>
  <si>
    <t>2026/06/21 6:35:14 PM GMT+1</t>
  </si>
  <si>
    <t>2026/06/21 6:43:50 PM GMT+1</t>
  </si>
  <si>
    <t>2026/06/21 7:19:53 PM GMT+1</t>
  </si>
  <si>
    <t>Moderate;Low</t>
  </si>
  <si>
    <t>2026/06/21 7:27:27 PM GMT+1</t>
  </si>
  <si>
    <t>2026/06/21 9:13:09 PM GMT+1</t>
  </si>
  <si>
    <t>2026/06/22 2:21:47 AM GMT+1</t>
  </si>
  <si>
    <t>2026/06/26 12:04:06 PM GMT+1</t>
  </si>
  <si>
    <t>2026/06/28 9:25:48 AM GMT+1</t>
  </si>
  <si>
    <t>200 Level;300 Level</t>
  </si>
  <si>
    <t>2026/06/28 2:59:37 PM GMT+1</t>
  </si>
  <si>
    <t>2026/06/28 3:00:57 PM GMT+1</t>
  </si>
  <si>
    <t>2026/06/30 1:03:18 PM GMT+1</t>
  </si>
  <si>
    <t>I have read and understood the information above,and I voluntarily agree to participate in this study.</t>
  </si>
  <si>
    <t>2026/06/30 1:04:06 PM GMT+1</t>
  </si>
  <si>
    <t>Social media;School orientation</t>
  </si>
  <si>
    <t>2026/06/30 1:12:30 PM GMT+1</t>
  </si>
  <si>
    <t>2026/06/30 1:41:38 PM GMT+1</t>
  </si>
  <si>
    <t>2026/06/30 1:49:24 PM GMT+1</t>
  </si>
  <si>
    <t>2026/06/30 1:49:57 PM GMT+1</t>
  </si>
  <si>
    <t>2026/06/30 1:54:52 PM GMT+1</t>
  </si>
  <si>
    <t>2026/06/30 1:55:10 PM GMT+1</t>
  </si>
  <si>
    <t>Male;Female</t>
  </si>
  <si>
    <t>2026/06/30 4:25:19 PM GMT+1</t>
  </si>
  <si>
    <t>WhatsApp;Instagram</t>
  </si>
  <si>
    <t>2026/06/30 4:56:37 PM GMT+1</t>
  </si>
  <si>
    <t>Very clearly;Clearly</t>
  </si>
  <si>
    <t>2026/06/30 5:03:30 PM GMT+1</t>
  </si>
  <si>
    <t>2026/06/30 5:17:42 PM GMT+1</t>
  </si>
  <si>
    <t>2026/06/30 6:27:50 PM GMT+1</t>
  </si>
  <si>
    <t>20 -23;24 -27</t>
  </si>
  <si>
    <t>2026/06/30 8:27:02 PM GMT+1</t>
  </si>
  <si>
    <t>2026/06/30 8:57:16 PM GMT+1</t>
  </si>
  <si>
    <t>Friends/peers;School orientation</t>
  </si>
  <si>
    <t>2026/06/30 9:11:35 PM GMT+1</t>
  </si>
  <si>
    <t>2026/06/30 9:18:15 PM GMT+1</t>
  </si>
  <si>
    <t>2026/06/30 9:21:30 PM GMT+1</t>
  </si>
  <si>
    <t>2026/06/30 9:23:45 PM GMT+1</t>
  </si>
  <si>
    <t>2026/07/01 5:46:43 AM GMT+1</t>
  </si>
  <si>
    <t>2026/07/01 5:55:07 AM GMT+1</t>
  </si>
  <si>
    <t>2026/07/01 6:03:19 AM GMT+1</t>
  </si>
  <si>
    <t>2026/07/01 6:26:17 AM GMT+1</t>
  </si>
  <si>
    <t>2026/07/01 7:52:39 AM GMT+1</t>
  </si>
  <si>
    <t>2026/07/03 3:39:59 PM GMT+1</t>
  </si>
  <si>
    <t>2026/07/03 3:52:40 PM GMT+1</t>
  </si>
  <si>
    <t>2026/07/03 4:04:57 PM GMT+1</t>
  </si>
  <si>
    <t>2026/07/03 4:57:42 PM GMT+1</t>
  </si>
  <si>
    <t>I do not agree to participate</t>
  </si>
  <si>
    <t>2026/07/04 9:23:31 AM GMT+1</t>
  </si>
  <si>
    <t>2026/07/04 9:23:52 AM GMT+1</t>
  </si>
  <si>
    <t>2026/07/04 9:24:54 AM GMT+1</t>
  </si>
  <si>
    <t>WhatsApp;Instagram;Twitter (X)</t>
  </si>
  <si>
    <t>2026/07/04 9:29:41 AM GMT+1</t>
  </si>
  <si>
    <t>2026/07/04 9:39:28 AM GMT+1</t>
  </si>
  <si>
    <t>2026/07/04 10:28:45 AM GMT+1</t>
  </si>
  <si>
    <t>2026/07/04 10:45:18 AM GMT+1</t>
  </si>
  <si>
    <t>2026/07/04 11:05:54 AM GMT+1</t>
  </si>
  <si>
    <t>100 Level;200 Level;300 Level;400 level</t>
  </si>
  <si>
    <t>2026/07/04 11:28:25 AM GMT+1</t>
  </si>
  <si>
    <t>2026/07/04 11:37:41 AM GMT+1</t>
  </si>
  <si>
    <t>2026/07/04 11:41:37 AM GMT+1</t>
  </si>
  <si>
    <t>2026/07/04 2:43:01 PM GMT+1</t>
  </si>
  <si>
    <t>2026/07/05 12:32:40 AM GMT+1</t>
  </si>
  <si>
    <t>2026/07/06 9:10:55 PM GMT+1</t>
  </si>
  <si>
    <t>2026/07/06 9:24:34 PM GMT+1</t>
  </si>
  <si>
    <t>2026/07/06 9:43:29 PM GMT+1</t>
  </si>
  <si>
    <t>2026/07/06 10:59:19 PM GMT+1</t>
  </si>
  <si>
    <t>2026/07/07 8:23:55 AM GMT+1</t>
  </si>
  <si>
    <t>2026/07/07 8:25:40 AM GMT+1</t>
  </si>
  <si>
    <t>2026/07/07 8:27:17 AM GMT+1</t>
  </si>
  <si>
    <t>2026/07/07 8:27:30 AM GMT+1</t>
  </si>
  <si>
    <t>2026/07/07 8:29:22 AM GMT+1</t>
  </si>
  <si>
    <t>2026/07/07 8:30:58 AM GMT+1</t>
  </si>
  <si>
    <t>2026/07/07 8:32:29 AM GMT+1</t>
  </si>
  <si>
    <t>2026/07/07 8:33:48 AM GMT+1</t>
  </si>
  <si>
    <t>2026/07/07 8:35:12 AM GMT+1</t>
  </si>
  <si>
    <t>2026/07/07 8:36:27 AM GMT+1</t>
  </si>
  <si>
    <t>2026/07/07 8:37:50 AM GMT+1</t>
  </si>
  <si>
    <t>2026/07/07 8:39:19 AM GMT+1</t>
  </si>
  <si>
    <t>2026/07/07 8:41:11 AM GMT+1</t>
  </si>
  <si>
    <t>2026/07/07 6:04:50 PM GMT+1</t>
  </si>
  <si>
    <t>2026/07/07 6:07:39 PM GMT+1</t>
  </si>
  <si>
    <t>2026/07/07 6:09:29 PM GMT+1</t>
  </si>
  <si>
    <t>2026/07/07 6:11:00 PM GMT+1</t>
  </si>
  <si>
    <t>2026/07/08 8:55:03 AM GMT+1</t>
  </si>
  <si>
    <t>2026/07/08 10:45:34 AM GMT+1</t>
  </si>
  <si>
    <t>2026/07/08 10:48:00 AM GMT+1</t>
  </si>
  <si>
    <t>2026/07/08 11:00:32 AM GMT+1</t>
  </si>
  <si>
    <t>2026/07/08 12:55:10 PM GMT+1</t>
  </si>
  <si>
    <t>2026/07/08 3:32:54 PM GMT+1</t>
  </si>
  <si>
    <t>2026/07/08 3:34:04 PM GMT+1</t>
  </si>
  <si>
    <t>2026/07/08 3:35:27 PM GMT+1</t>
  </si>
  <si>
    <t>2026/07/08 3:36:43 PM GMT+1</t>
  </si>
  <si>
    <t>2026/07/08 6:57:39 PM GMT+1</t>
  </si>
  <si>
    <t>2026/07/08 6:58:38 PM GMT+1</t>
  </si>
  <si>
    <t>2026/07/08 6:59:30 PM GMT+1</t>
  </si>
  <si>
    <t>2026/07/08 7:00:26 PM GMT+1</t>
  </si>
  <si>
    <t>2026/07/08 7:24:47 PM GMT+1</t>
  </si>
  <si>
    <t>2026/07/08 7:25:41 PM GMT+1</t>
  </si>
  <si>
    <t>2026/07/08 7:26:49 PM GMT+1</t>
  </si>
  <si>
    <t>2026/07/08 7:27:30 PM GMT+1</t>
  </si>
  <si>
    <t>2026/07/08 7:28:03 PM GMT+1</t>
  </si>
  <si>
    <t>2026/07/08 10:12:03 PM GMT+1</t>
  </si>
  <si>
    <t>2026/07/09 9:37:22 PM GMT+1</t>
  </si>
  <si>
    <t>2026/07/09 9:46:54 PM GMT+1</t>
  </si>
  <si>
    <t>2026/07/09 9:47:57 PM GMT+1</t>
  </si>
  <si>
    <t>2026/07/09 9:48:50 PM GMT+1</t>
  </si>
  <si>
    <t>2026/07/10 9:41:27 AM GMT+1</t>
  </si>
  <si>
    <t>2026/07/10 9:43:36 AM GMT+1</t>
  </si>
  <si>
    <t>2026/07/10 9:45:07 AM GMT+1</t>
  </si>
  <si>
    <t>2026/07/10 10:12:29 AM GMT+1</t>
  </si>
  <si>
    <t>Gender</t>
  </si>
  <si>
    <t>Age-Range</t>
  </si>
  <si>
    <t>Study_Level</t>
  </si>
  <si>
    <t>Awareness_Of_Reporting_Channels</t>
  </si>
  <si>
    <t xml:space="preserve">  Level_Of_Awareness</t>
  </si>
  <si>
    <t>Reporting_Channels</t>
  </si>
  <si>
    <t>Channel_Discovery_Method</t>
  </si>
  <si>
    <t>Exposure to sexual awareness</t>
  </si>
  <si>
    <t>Awareness_Platform</t>
  </si>
  <si>
    <t>University_Communication_Clarity</t>
  </si>
  <si>
    <t>Official_Social_Media_Awareness_effectiveness</t>
  </si>
  <si>
    <t>Reporting_Channel_Willingness</t>
  </si>
  <si>
    <t>Reporting_Channel_Confidence</t>
  </si>
  <si>
    <t>Can_official_Channel_Encourage_Students?</t>
  </si>
  <si>
    <t>Reporting_Information_Adequacy</t>
  </si>
  <si>
    <t>Online_Search_For_Reporting_Info</t>
  </si>
  <si>
    <t>Reporting_information_Trust</t>
  </si>
  <si>
    <t>Anonymity_Influence</t>
  </si>
  <si>
    <t>School_Awareness_Content_Engagement</t>
  </si>
  <si>
    <t>Unaware of Any</t>
  </si>
  <si>
    <t>School orientation &amp; Lecturers</t>
  </si>
  <si>
    <t>Social media &amp; School orientation</t>
  </si>
  <si>
    <t>Social media &amp; Friends/peers</t>
  </si>
  <si>
    <t>Unsure</t>
  </si>
  <si>
    <t>Instagram &amp; Twitter (X)</t>
  </si>
  <si>
    <t>WhatsApp &amp; Instagram</t>
  </si>
  <si>
    <t>WhatsApp &amp; Twitter (X)</t>
  </si>
  <si>
    <t xml:space="preserve"> </t>
  </si>
  <si>
    <t>Row Labels</t>
  </si>
  <si>
    <t>Grand Total</t>
  </si>
  <si>
    <t>Count of Awareness_Of_Reporting_Channels</t>
  </si>
  <si>
    <t>Total Respondents</t>
  </si>
  <si>
    <t>Male Respondents</t>
  </si>
  <si>
    <t>Female Respondents</t>
  </si>
  <si>
    <t>Awareness Rate</t>
  </si>
  <si>
    <t>Unawareness Rate</t>
  </si>
  <si>
    <t>Count of University_Communication_Clarity</t>
  </si>
  <si>
    <t>Count of Reporting_Channel_Willingness</t>
  </si>
  <si>
    <t>Count of Reporting_Channels</t>
  </si>
  <si>
    <t xml:space="preserve">   </t>
  </si>
  <si>
    <t>Count of Study_Level</t>
  </si>
  <si>
    <t>Count of Gender</t>
  </si>
  <si>
    <t>Count of Anonymity_Influence</t>
  </si>
  <si>
    <t>Column Labels</t>
  </si>
  <si>
    <t>Social Media Platform</t>
  </si>
  <si>
    <t>Count of Social Media Platform</t>
  </si>
  <si>
    <t>Exposure to awareness content</t>
  </si>
  <si>
    <t>400 Level</t>
  </si>
  <si>
    <t>Count of Exposure to sexual awareness</t>
  </si>
  <si>
    <t>Willingness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</si>
</sst>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theme="1"/>
      <name val="Book Antiqua"/>
      <family val="1"/>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gradientFill degree="270">
        <stop position="0">
          <color theme="7" tint="0.80001220740379042"/>
        </stop>
        <stop position="1">
          <color theme="7" tint="-0.25098422193060094"/>
        </stop>
      </gradient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2" fillId="2" borderId="0" xfId="0" applyFont="1" applyFill="1"/>
    <xf numFmtId="0" fontId="0" fillId="3" borderId="0" xfId="0" applyFill="1"/>
    <xf numFmtId="0" fontId="0" fillId="3" borderId="0" xfId="0" applyFill="1" applyAlignment="1">
      <alignment horizontal="left"/>
    </xf>
    <xf numFmtId="0" fontId="0" fillId="3" borderId="1" xfId="0" applyFill="1" applyBorder="1"/>
    <xf numFmtId="10" fontId="0" fillId="3" borderId="1" xfId="0" applyNumberFormat="1" applyFill="1" applyBorder="1" applyAlignment="1">
      <alignment wrapText="1"/>
    </xf>
    <xf numFmtId="10" fontId="0" fillId="3" borderId="1" xfId="1" applyNumberFormat="1" applyFont="1" applyFill="1" applyBorder="1"/>
    <xf numFmtId="0" fontId="0" fillId="5" borderId="0" xfId="0" applyFill="1"/>
    <xf numFmtId="0" fontId="0" fillId="0" borderId="0" xfId="0" pivotButton="1"/>
    <xf numFmtId="0" fontId="0" fillId="0" borderId="0" xfId="0" applyAlignment="1">
      <alignment horizontal="left"/>
    </xf>
    <xf numFmtId="0" fontId="0" fillId="4" borderId="0" xfId="0" applyFill="1" applyAlignment="1">
      <alignment horizontal="center"/>
    </xf>
    <xf numFmtId="0" fontId="0" fillId="0" borderId="0" xfId="0" applyAlignment="1">
      <alignment horizontal="center"/>
    </xf>
    <xf numFmtId="0" fontId="0" fillId="3" borderId="0" xfId="0" applyNumberFormat="1" applyFill="1"/>
  </cellXfs>
  <cellStyles count="2">
    <cellStyle name="Normal" xfId="0" builtinId="0"/>
    <cellStyle name="Percent" xfId="1" builtinId="5"/>
  </cellStyles>
  <dxfs count="13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7" tint="0.79998168889431442"/>
        </patternFill>
      </fill>
    </dxf>
    <dxf>
      <fill>
        <patternFill>
          <bgColor theme="7" tint="-0.24994659260841701"/>
        </patternFill>
      </fill>
    </dxf>
    <dxf>
      <fill>
        <patternFill>
          <bgColor theme="7" tint="0.79998168889431442"/>
        </patternFill>
      </fill>
    </dxf>
    <dxf>
      <fill>
        <patternFill>
          <bgColor theme="4" tint="-0.499984740745262"/>
        </patternFill>
      </fill>
    </dxf>
    <dxf>
      <font>
        <b/>
        <i val="0"/>
        <sz val="10"/>
        <color theme="0"/>
        <name val="Arial"/>
        <family val="2"/>
        <scheme val="none"/>
      </font>
      <fill>
        <patternFill>
          <bgColor theme="4" tint="-0.499984740745262"/>
        </patternFill>
      </fill>
    </dxf>
    <dxf>
      <fill>
        <patternFill>
          <bgColor theme="7" tint="0.39994506668294322"/>
        </patternFill>
      </fill>
    </dxf>
  </dxfs>
  <tableStyles count="3" defaultTableStyle="TableStyleMedium2" defaultPivotStyle="PivotStyleLight16">
    <tableStyle name="Slicer Style 1" pivot="0" table="0" count="4" xr9:uid="{B78EB464-5E07-415A-ADD3-C08AF2E7F1A8}">
      <tableStyleElement type="headerRow" dxfId="137"/>
    </tableStyle>
    <tableStyle name="Slicer Style 2" pivot="0" table="0" count="9" xr9:uid="{956D01A7-B11D-496A-B971-D2814FFFB904}">
      <tableStyleElement type="wholeTable" dxfId="136"/>
      <tableStyleElement type="headerRow" dxfId="135"/>
    </tableStyle>
    <tableStyle name="Table Style 1" pivot="0" count="3" xr9:uid="{801D819E-F4EF-462C-B10A-EA51911F650D}">
      <tableStyleElement type="wholeTable" dxfId="134"/>
      <tableStyleElement type="headerRow" dxfId="133"/>
      <tableStyleElement type="firstColumnStripe" dxfId="132"/>
    </tableStyle>
  </tableStyles>
  <colors>
    <mruColors>
      <color rgb="FF203864"/>
      <color rgb="FF4E4832"/>
      <color rgb="FF7F6000"/>
      <color rgb="FFFF7C80"/>
      <color rgb="FFFF6600"/>
    </mruColors>
  </colors>
  <extLst>
    <ext xmlns:x14="http://schemas.microsoft.com/office/spreadsheetml/2009/9/main" uri="{46F421CA-312F-682f-3DD2-61675219B42D}">
      <x14:dxfs count="10">
        <dxf>
          <fill>
            <patternFill>
              <bgColor theme="0" tint="-0.34998626667073579"/>
            </patternFill>
          </fill>
        </dxf>
        <dxf>
          <fill>
            <patternFill>
              <bgColor theme="7" tint="-0.24994659260841701"/>
            </patternFill>
          </fill>
        </dxf>
        <dxf>
          <fill>
            <patternFill>
              <bgColor theme="7" tint="-0.24994659260841701"/>
            </patternFill>
          </fill>
        </dxf>
        <dxf>
          <fill>
            <patternFill>
              <bgColor theme="0" tint="-0.34998626667073579"/>
            </patternFill>
          </fill>
        </dxf>
        <dxf>
          <fill>
            <patternFill>
              <bgColor theme="7" tint="-0.24994659260841701"/>
            </patternFill>
          </fill>
        </dxf>
        <dxf>
          <fill>
            <patternFill>
              <bgColor theme="0"/>
            </patternFill>
          </fill>
        </dxf>
        <dxf>
          <fill>
            <patternFill patternType="solid">
              <fgColor auto="1"/>
              <bgColor theme="0"/>
            </patternFill>
          </fill>
        </dxf>
        <dxf>
          <fill>
            <patternFill>
              <bgColor theme="0" tint="-4.9989318521683403E-2"/>
            </patternFill>
          </fill>
        </dxf>
        <dxf>
          <fill>
            <patternFill>
              <bgColor theme="0" tint="-4.9989318521683403E-2"/>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 type="hoveredSelectedItemWith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Awareness</a:t>
            </a:r>
            <a:r>
              <a:rPr lang="en-US" b="1" baseline="0">
                <a:solidFill>
                  <a:schemeClr val="tx1"/>
                </a:solidFill>
              </a:rPr>
              <a:t> against willingness</a:t>
            </a:r>
            <a:endParaRPr lang="en-US" b="1">
              <a:solidFill>
                <a:schemeClr val="tx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0386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5403400661874"/>
          <c:y val="0.1335690928385678"/>
          <c:w val="0.47957513618954734"/>
          <c:h val="0.8416746864975212"/>
        </c:manualLayout>
      </c:layout>
      <c:barChart>
        <c:barDir val="bar"/>
        <c:grouping val="clustered"/>
        <c:varyColors val="0"/>
        <c:ser>
          <c:idx val="0"/>
          <c:order val="0"/>
          <c:tx>
            <c:strRef>
              <c:f>'Pivot Tables'!$H$54:$H$55</c:f>
              <c:strCache>
                <c:ptCount val="1"/>
                <c:pt idx="0">
                  <c:v>No</c:v>
                </c:pt>
              </c:strCache>
            </c:strRef>
          </c:tx>
          <c:spPr>
            <a:solidFill>
              <a:srgbClr val="20386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Tables'!$H$56:$H$59</c:f>
              <c:numCache>
                <c:formatCode>General</c:formatCode>
                <c:ptCount val="3"/>
                <c:pt idx="0">
                  <c:v>15</c:v>
                </c:pt>
                <c:pt idx="2">
                  <c:v>7</c:v>
                </c:pt>
              </c:numCache>
            </c:numRef>
          </c:val>
          <c:extLst>
            <c:ext xmlns:c16="http://schemas.microsoft.com/office/drawing/2014/chart" uri="{C3380CC4-5D6E-409C-BE32-E72D297353CC}">
              <c16:uniqueId val="{00000000-40C5-43D2-AFF3-DF4D81A8583D}"/>
            </c:ext>
          </c:extLst>
        </c:ser>
        <c:ser>
          <c:idx val="1"/>
          <c:order val="1"/>
          <c:tx>
            <c:strRef>
              <c:f>'Pivot Tables'!$I$54:$I$55</c:f>
              <c:strCache>
                <c:ptCount val="1"/>
                <c:pt idx="0">
                  <c:v>Not sure</c:v>
                </c:pt>
              </c:strCache>
            </c:strRef>
          </c:tx>
          <c:spPr>
            <a:solidFill>
              <a:schemeClr val="bg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Tables'!$I$56:$I$59</c:f>
              <c:numCache>
                <c:formatCode>General</c:formatCode>
                <c:ptCount val="3"/>
                <c:pt idx="0">
                  <c:v>34</c:v>
                </c:pt>
                <c:pt idx="2">
                  <c:v>5</c:v>
                </c:pt>
              </c:numCache>
            </c:numRef>
          </c:val>
          <c:extLst>
            <c:ext xmlns:c16="http://schemas.microsoft.com/office/drawing/2014/chart" uri="{C3380CC4-5D6E-409C-BE32-E72D297353CC}">
              <c16:uniqueId val="{00000001-40C5-43D2-AFF3-DF4D81A8583D}"/>
            </c:ext>
          </c:extLst>
        </c:ser>
        <c:ser>
          <c:idx val="2"/>
          <c:order val="2"/>
          <c:tx>
            <c:strRef>
              <c:f>'Pivot Tables'!$J$54:$J$55</c:f>
              <c:strCache>
                <c:ptCount val="1"/>
                <c:pt idx="0">
                  <c:v>Yes</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Tables'!$J$56:$J$59</c:f>
              <c:numCache>
                <c:formatCode>General</c:formatCode>
                <c:ptCount val="3"/>
                <c:pt idx="0">
                  <c:v>81</c:v>
                </c:pt>
                <c:pt idx="1">
                  <c:v>2</c:v>
                </c:pt>
                <c:pt idx="2">
                  <c:v>57</c:v>
                </c:pt>
              </c:numCache>
            </c:numRef>
          </c:val>
          <c:extLst>
            <c:ext xmlns:c16="http://schemas.microsoft.com/office/drawing/2014/chart" uri="{C3380CC4-5D6E-409C-BE32-E72D297353CC}">
              <c16:uniqueId val="{00000002-40C5-43D2-AFF3-DF4D81A8583D}"/>
            </c:ext>
          </c:extLst>
        </c:ser>
        <c:dLbls>
          <c:dLblPos val="outEnd"/>
          <c:showLegendKey val="0"/>
          <c:showVal val="1"/>
          <c:showCatName val="0"/>
          <c:showSerName val="0"/>
          <c:showPercent val="0"/>
          <c:showBubbleSize val="0"/>
        </c:dLbls>
        <c:gapWidth val="219"/>
        <c:axId val="647188120"/>
        <c:axId val="647184520"/>
      </c:barChart>
      <c:catAx>
        <c:axId val="64718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7184520"/>
        <c:crosses val="autoZero"/>
        <c:auto val="1"/>
        <c:lblAlgn val="ctr"/>
        <c:lblOffset val="100"/>
        <c:noMultiLvlLbl val="0"/>
      </c:catAx>
      <c:valAx>
        <c:axId val="647184520"/>
        <c:scaling>
          <c:orientation val="minMax"/>
        </c:scaling>
        <c:delete val="1"/>
        <c:axPos val="b"/>
        <c:numFmt formatCode="General" sourceLinked="1"/>
        <c:majorTickMark val="none"/>
        <c:minorTickMark val="none"/>
        <c:tickLblPos val="nextTo"/>
        <c:crossAx val="64718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Tables!PivotTable8</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Channel</a:t>
            </a:r>
            <a:r>
              <a:rPr lang="en-US" b="1" baseline="0">
                <a:solidFill>
                  <a:sysClr val="windowText" lastClr="000000"/>
                </a:solidFill>
              </a:rPr>
              <a:t> Awareness Increases with Level</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ysClr val="windowText" lastClr="000000"/>
            </a:solidFill>
            <a:round/>
          </a:ln>
          <a:effectLst>
            <a:outerShdw blurRad="50800" dist="38100" dir="2700000" algn="tl" rotWithShape="0">
              <a:prstClr val="black">
                <a:alpha val="40000"/>
              </a:prstClr>
            </a:outerShdw>
          </a:effectLst>
        </c:spPr>
        <c:marker>
          <c:symbol val="circle"/>
          <c:size val="5"/>
          <c:spPr>
            <a:solidFill>
              <a:schemeClr val="tx1"/>
            </a:solidFill>
            <a:ln w="9525">
              <a:solidFill>
                <a:sysClr val="windowText" lastClr="000000"/>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ysClr val="windowText" lastClr="000000"/>
            </a:solidFill>
            <a:round/>
          </a:ln>
          <a:effectLst>
            <a:outerShdw blurRad="50800" dist="38100" dir="2700000" algn="tl" rotWithShape="0">
              <a:prstClr val="black">
                <a:alpha val="40000"/>
              </a:prstClr>
            </a:outerShdw>
          </a:effectLst>
        </c:spPr>
        <c:marker>
          <c:symbol val="circle"/>
          <c:size val="5"/>
          <c:spPr>
            <a:solidFill>
              <a:schemeClr val="tx1"/>
            </a:solidFill>
            <a:ln w="9525">
              <a:solidFill>
                <a:sysClr val="windowText" lastClr="000000"/>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75000"/>
              </a:schemeClr>
            </a:solidFill>
            <a:round/>
          </a:ln>
          <a:effectLst>
            <a:outerShdw blurRad="50800" dist="38100" dir="2700000" algn="tl" rotWithShape="0">
              <a:prstClr val="black">
                <a:alpha val="40000"/>
              </a:prstClr>
            </a:outerShdw>
          </a:effectLst>
        </c:spPr>
        <c:marker>
          <c:symbol val="circle"/>
          <c:size val="5"/>
          <c:spPr>
            <a:solidFill>
              <a:schemeClr val="tx1"/>
            </a:solidFill>
            <a:ln w="9525">
              <a:solidFill>
                <a:schemeClr val="accent4">
                  <a:lumMod val="75000"/>
                </a:schemeClr>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16523201122713E-2"/>
          <c:y val="0.26974352677043251"/>
          <c:w val="0.74123806480149879"/>
          <c:h val="0.58397620985576171"/>
        </c:manualLayout>
      </c:layout>
      <c:lineChart>
        <c:grouping val="standard"/>
        <c:varyColors val="0"/>
        <c:ser>
          <c:idx val="0"/>
          <c:order val="0"/>
          <c:tx>
            <c:strRef>
              <c:f>'Pivot Tables'!$C$38:$C$39</c:f>
              <c:strCache>
                <c:ptCount val="1"/>
                <c:pt idx="0">
                  <c:v>No</c:v>
                </c:pt>
              </c:strCache>
            </c:strRef>
          </c:tx>
          <c:spPr>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cat>
            <c:strRef>
              <c:f>'Pivot Tables'!$B$40:$B$45</c:f>
              <c:strCache>
                <c:ptCount val="5"/>
                <c:pt idx="0">
                  <c:v>100 Level</c:v>
                </c:pt>
                <c:pt idx="1">
                  <c:v>200 Level</c:v>
                </c:pt>
                <c:pt idx="2">
                  <c:v>300 Level</c:v>
                </c:pt>
                <c:pt idx="3">
                  <c:v>400 Level</c:v>
                </c:pt>
                <c:pt idx="4">
                  <c:v>500 Level</c:v>
                </c:pt>
              </c:strCache>
            </c:strRef>
          </c:cat>
          <c:val>
            <c:numRef>
              <c:f>'Pivot Tables'!$C$40:$C$45</c:f>
              <c:numCache>
                <c:formatCode>General</c:formatCode>
                <c:ptCount val="5"/>
                <c:pt idx="0">
                  <c:v>40</c:v>
                </c:pt>
                <c:pt idx="1">
                  <c:v>25</c:v>
                </c:pt>
                <c:pt idx="2">
                  <c:v>18</c:v>
                </c:pt>
                <c:pt idx="3">
                  <c:v>14</c:v>
                </c:pt>
                <c:pt idx="4">
                  <c:v>7</c:v>
                </c:pt>
              </c:numCache>
            </c:numRef>
          </c:val>
          <c:smooth val="0"/>
          <c:extLst>
            <c:ext xmlns:c16="http://schemas.microsoft.com/office/drawing/2014/chart" uri="{C3380CC4-5D6E-409C-BE32-E72D297353CC}">
              <c16:uniqueId val="{00000000-7B11-4666-89F6-D2C548942586}"/>
            </c:ext>
          </c:extLst>
        </c:ser>
        <c:ser>
          <c:idx val="1"/>
          <c:order val="1"/>
          <c:tx>
            <c:strRef>
              <c:f>'Pivot Tables'!$D$38:$D$39</c:f>
              <c:strCache>
                <c:ptCount val="1"/>
                <c:pt idx="0">
                  <c:v>Yes</c:v>
                </c:pt>
              </c:strCache>
            </c:strRef>
          </c:tx>
          <c:spPr>
            <a:ln w="28575" cap="rnd">
              <a:solidFill>
                <a:schemeClr val="accent4">
                  <a:lumMod val="75000"/>
                </a:schemeClr>
              </a:solidFill>
              <a:round/>
            </a:ln>
            <a:effectLst>
              <a:outerShdw blurRad="50800" dist="38100" dir="2700000" algn="tl" rotWithShape="0">
                <a:prstClr val="black">
                  <a:alpha val="40000"/>
                </a:prstClr>
              </a:outerShdw>
            </a:effectLst>
          </c:spPr>
          <c:marker>
            <c:symbol val="circle"/>
            <c:size val="5"/>
            <c:spPr>
              <a:solidFill>
                <a:schemeClr val="tx1"/>
              </a:solidFill>
              <a:ln w="9525">
                <a:solidFill>
                  <a:schemeClr val="accent4">
                    <a:lumMod val="75000"/>
                  </a:schemeClr>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Tables'!$B$40:$B$45</c:f>
              <c:strCache>
                <c:ptCount val="5"/>
                <c:pt idx="0">
                  <c:v>100 Level</c:v>
                </c:pt>
                <c:pt idx="1">
                  <c:v>200 Level</c:v>
                </c:pt>
                <c:pt idx="2">
                  <c:v>300 Level</c:v>
                </c:pt>
                <c:pt idx="3">
                  <c:v>400 Level</c:v>
                </c:pt>
                <c:pt idx="4">
                  <c:v>500 Level</c:v>
                </c:pt>
              </c:strCache>
            </c:strRef>
          </c:cat>
          <c:val>
            <c:numRef>
              <c:f>'Pivot Tables'!$D$40:$D$45</c:f>
              <c:numCache>
                <c:formatCode>General</c:formatCode>
                <c:ptCount val="5"/>
                <c:pt idx="0">
                  <c:v>12</c:v>
                </c:pt>
                <c:pt idx="1">
                  <c:v>13</c:v>
                </c:pt>
                <c:pt idx="2">
                  <c:v>20</c:v>
                </c:pt>
                <c:pt idx="3">
                  <c:v>31</c:v>
                </c:pt>
                <c:pt idx="4">
                  <c:v>21</c:v>
                </c:pt>
              </c:numCache>
            </c:numRef>
          </c:val>
          <c:smooth val="0"/>
          <c:extLst>
            <c:ext xmlns:c16="http://schemas.microsoft.com/office/drawing/2014/chart" uri="{C3380CC4-5D6E-409C-BE32-E72D297353CC}">
              <c16:uniqueId val="{00000000-24FB-4817-BDF4-98C4E035E6B1}"/>
            </c:ext>
          </c:extLst>
        </c:ser>
        <c:dLbls>
          <c:showLegendKey val="0"/>
          <c:showVal val="0"/>
          <c:showCatName val="0"/>
          <c:showSerName val="0"/>
          <c:showPercent val="0"/>
          <c:showBubbleSize val="0"/>
        </c:dLbls>
        <c:marker val="1"/>
        <c:smooth val="0"/>
        <c:axId val="467542664"/>
        <c:axId val="467540864"/>
      </c:lineChart>
      <c:catAx>
        <c:axId val="4675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67540864"/>
        <c:crosses val="autoZero"/>
        <c:auto val="1"/>
        <c:lblAlgn val="ctr"/>
        <c:lblOffset val="100"/>
        <c:noMultiLvlLbl val="0"/>
      </c:catAx>
      <c:valAx>
        <c:axId val="467540864"/>
        <c:scaling>
          <c:orientation val="minMax"/>
        </c:scaling>
        <c:delete val="1"/>
        <c:axPos val="l"/>
        <c:numFmt formatCode="General" sourceLinked="1"/>
        <c:majorTickMark val="none"/>
        <c:minorTickMark val="none"/>
        <c:tickLblPos val="nextTo"/>
        <c:crossAx val="467542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Reporting</a:t>
            </a:r>
            <a:r>
              <a:rPr lang="en-US" b="1" baseline="0">
                <a:solidFill>
                  <a:sysClr val="windowText" lastClr="000000"/>
                </a:solidFill>
              </a:rPr>
              <a:t> Channels</a:t>
            </a:r>
            <a:endParaRPr lang="en-US" b="1">
              <a:solidFill>
                <a:sysClr val="windowText" lastClr="000000"/>
              </a:solidFill>
            </a:endParaRPr>
          </a:p>
        </c:rich>
      </c:tx>
      <c:layout>
        <c:manualLayout>
          <c:xMode val="edge"/>
          <c:yMode val="edge"/>
          <c:x val="0.28740568612510825"/>
          <c:y val="3.1574073210828418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68876580921605"/>
          <c:y val="0.22377243992781029"/>
          <c:w val="0.47200101723082566"/>
          <c:h val="0.70986204809575637"/>
        </c:manualLayout>
      </c:layout>
      <c:barChart>
        <c:barDir val="bar"/>
        <c:grouping val="clustered"/>
        <c:varyColors val="0"/>
        <c:ser>
          <c:idx val="0"/>
          <c:order val="0"/>
          <c:tx>
            <c:strRef>
              <c:f>'Pivot Tables'!$C$28</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Tables'!$B$29:$B$35</c:f>
              <c:strCache>
                <c:ptCount val="6"/>
                <c:pt idx="0">
                  <c:v>NGOs/helplines</c:v>
                </c:pt>
                <c:pt idx="1">
                  <c:v>Online complaint portals</c:v>
                </c:pt>
                <c:pt idx="2">
                  <c:v>Others</c:v>
                </c:pt>
                <c:pt idx="3">
                  <c:v>School authorities (e.g,lecturers, HOD)</c:v>
                </c:pt>
                <c:pt idx="4">
                  <c:v>Sexual and gender-based violence officers in faculties</c:v>
                </c:pt>
                <c:pt idx="5">
                  <c:v>Unaware of Any</c:v>
                </c:pt>
              </c:strCache>
            </c:strRef>
          </c:cat>
          <c:val>
            <c:numRef>
              <c:f>'Pivot Tables'!$C$29:$C$35</c:f>
              <c:numCache>
                <c:formatCode>General</c:formatCode>
                <c:ptCount val="6"/>
                <c:pt idx="0">
                  <c:v>13</c:v>
                </c:pt>
                <c:pt idx="1">
                  <c:v>31</c:v>
                </c:pt>
                <c:pt idx="2">
                  <c:v>16</c:v>
                </c:pt>
                <c:pt idx="3">
                  <c:v>64</c:v>
                </c:pt>
                <c:pt idx="4">
                  <c:v>29</c:v>
                </c:pt>
                <c:pt idx="5">
                  <c:v>48</c:v>
                </c:pt>
              </c:numCache>
            </c:numRef>
          </c:val>
          <c:extLst>
            <c:ext xmlns:c16="http://schemas.microsoft.com/office/drawing/2014/chart" uri="{C3380CC4-5D6E-409C-BE32-E72D297353CC}">
              <c16:uniqueId val="{00000000-6F0D-4746-A248-49A285731F15}"/>
            </c:ext>
          </c:extLst>
        </c:ser>
        <c:dLbls>
          <c:dLblPos val="outEnd"/>
          <c:showLegendKey val="0"/>
          <c:showVal val="1"/>
          <c:showCatName val="0"/>
          <c:showSerName val="0"/>
          <c:showPercent val="0"/>
          <c:showBubbleSize val="0"/>
        </c:dLbls>
        <c:gapWidth val="182"/>
        <c:axId val="580026584"/>
        <c:axId val="580027304"/>
      </c:barChart>
      <c:catAx>
        <c:axId val="580026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580027304"/>
        <c:crosses val="autoZero"/>
        <c:auto val="1"/>
        <c:lblAlgn val="ctr"/>
        <c:lblOffset val="100"/>
        <c:noMultiLvlLbl val="0"/>
      </c:catAx>
      <c:valAx>
        <c:axId val="580027304"/>
        <c:scaling>
          <c:orientation val="minMax"/>
        </c:scaling>
        <c:delete val="1"/>
        <c:axPos val="b"/>
        <c:numFmt formatCode="General" sourceLinked="1"/>
        <c:majorTickMark val="none"/>
        <c:minorTickMark val="none"/>
        <c:tickLblPos val="nextTo"/>
        <c:crossAx val="580026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Whatsapp Dominates</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60815192218615E-2"/>
          <c:y val="2.9924438174783858E-3"/>
          <c:w val="0.92855855245410579"/>
          <c:h val="0.64273635801161477"/>
        </c:manualLayout>
      </c:layout>
      <c:barChart>
        <c:barDir val="col"/>
        <c:grouping val="clustered"/>
        <c:varyColors val="0"/>
        <c:ser>
          <c:idx val="0"/>
          <c:order val="0"/>
          <c:tx>
            <c:strRef>
              <c:f>'Pivot Tables'!$H$43</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Tables'!$G$44:$G$49</c:f>
              <c:strCache>
                <c:ptCount val="5"/>
                <c:pt idx="0">
                  <c:v>Facebook</c:v>
                </c:pt>
                <c:pt idx="1">
                  <c:v>Instagram</c:v>
                </c:pt>
                <c:pt idx="2">
                  <c:v>TikTok</c:v>
                </c:pt>
                <c:pt idx="3">
                  <c:v>Twitter(X)</c:v>
                </c:pt>
                <c:pt idx="4">
                  <c:v>WhatsApp</c:v>
                </c:pt>
              </c:strCache>
            </c:strRef>
          </c:cat>
          <c:val>
            <c:numRef>
              <c:f>'Pivot Tables'!$H$44:$H$49</c:f>
              <c:numCache>
                <c:formatCode>General</c:formatCode>
                <c:ptCount val="5"/>
                <c:pt idx="0">
                  <c:v>16</c:v>
                </c:pt>
                <c:pt idx="1">
                  <c:v>19</c:v>
                </c:pt>
                <c:pt idx="2">
                  <c:v>16</c:v>
                </c:pt>
                <c:pt idx="3">
                  <c:v>21</c:v>
                </c:pt>
                <c:pt idx="4">
                  <c:v>129</c:v>
                </c:pt>
              </c:numCache>
            </c:numRef>
          </c:val>
          <c:extLst>
            <c:ext xmlns:c16="http://schemas.microsoft.com/office/drawing/2014/chart" uri="{C3380CC4-5D6E-409C-BE32-E72D297353CC}">
              <c16:uniqueId val="{00000000-694A-498A-9B31-B2B3314230ED}"/>
            </c:ext>
          </c:extLst>
        </c:ser>
        <c:dLbls>
          <c:dLblPos val="outEnd"/>
          <c:showLegendKey val="0"/>
          <c:showVal val="1"/>
          <c:showCatName val="0"/>
          <c:showSerName val="0"/>
          <c:showPercent val="0"/>
          <c:showBubbleSize val="0"/>
        </c:dLbls>
        <c:gapWidth val="219"/>
        <c:overlap val="-27"/>
        <c:axId val="394260224"/>
        <c:axId val="394261304"/>
      </c:barChart>
      <c:catAx>
        <c:axId val="3942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4261304"/>
        <c:crosses val="autoZero"/>
        <c:auto val="1"/>
        <c:lblAlgn val="ctr"/>
        <c:lblOffset val="100"/>
        <c:noMultiLvlLbl val="0"/>
      </c:catAx>
      <c:valAx>
        <c:axId val="394261304"/>
        <c:scaling>
          <c:orientation val="minMax"/>
        </c:scaling>
        <c:delete val="1"/>
        <c:axPos val="l"/>
        <c:numFmt formatCode="General" sourceLinked="1"/>
        <c:majorTickMark val="none"/>
        <c:minorTickMark val="none"/>
        <c:tickLblPos val="nextTo"/>
        <c:crossAx val="39426022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Awareness</a:t>
            </a:r>
            <a:r>
              <a:rPr lang="en-US" b="1" baseline="0">
                <a:solidFill>
                  <a:schemeClr val="tx1"/>
                </a:solidFill>
              </a:rPr>
              <a:t> count</a:t>
            </a:r>
            <a:endParaRPr lang="en-US" b="1">
              <a:solidFill>
                <a:schemeClr val="tx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solidFill>
              <a:schemeClr val="bg1"/>
            </a:solidFill>
            <a:ln>
              <a:solidFill>
                <a:schemeClr val="bg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tx2"/>
          </a:solidFill>
          <a:ln>
            <a:noFill/>
          </a:ln>
          <a:effectLst>
            <a:outerShdw blurRad="50800" dist="38100" dir="2700000" algn="tl" rotWithShape="0">
              <a:prstClr val="black">
                <a:alpha val="40000"/>
              </a:prstClr>
            </a:outerShdw>
          </a:effectLst>
        </c:spPr>
      </c:pivotFmt>
      <c:pivotFmt>
        <c:idx val="4"/>
        <c:spPr>
          <a:solidFill>
            <a:schemeClr val="accent4">
              <a:lumMod val="75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35586321052934078"/>
          <c:y val="0.21512243322525862"/>
          <c:w val="0.28243439278119431"/>
          <c:h val="0.75869631002007099"/>
        </c:manualLayout>
      </c:layout>
      <c:doughnutChart>
        <c:varyColors val="1"/>
        <c:ser>
          <c:idx val="0"/>
          <c:order val="0"/>
          <c:tx>
            <c:strRef>
              <c:f>'Pivot Tables'!$B$54</c:f>
              <c:strCache>
                <c:ptCount val="1"/>
                <c:pt idx="0">
                  <c:v>Total</c:v>
                </c:pt>
              </c:strCache>
            </c:strRef>
          </c:tx>
          <c:spPr>
            <a:solidFill>
              <a:schemeClr val="accent4">
                <a:lumMod val="75000"/>
              </a:schemeClr>
            </a:solidFill>
            <a:effectLst>
              <a:outerShdw blurRad="50800" dist="38100" dir="2700000" algn="tl" rotWithShape="0">
                <a:prstClr val="black">
                  <a:alpha val="40000"/>
                </a:prstClr>
              </a:outerShdw>
            </a:effectLst>
          </c:spPr>
          <c:dPt>
            <c:idx val="0"/>
            <c:bubble3D val="0"/>
            <c:spPr>
              <a:solidFill>
                <a:schemeClr val="tx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129-4069-8F77-6ABD28A77D9A}"/>
              </c:ext>
            </c:extLst>
          </c:dPt>
          <c:dPt>
            <c:idx val="1"/>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ACF-4AF6-90E3-5C984C398FD4}"/>
              </c:ext>
            </c:extLst>
          </c:dPt>
          <c:dLbls>
            <c:spPr>
              <a:solidFill>
                <a:schemeClr val="bg1"/>
              </a:solidFill>
              <a:ln>
                <a:solidFill>
                  <a:schemeClr val="bg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Tables'!$A$55:$A$57</c:f>
              <c:strCache>
                <c:ptCount val="2"/>
                <c:pt idx="0">
                  <c:v>No</c:v>
                </c:pt>
                <c:pt idx="1">
                  <c:v>Yes</c:v>
                </c:pt>
              </c:strCache>
            </c:strRef>
          </c:cat>
          <c:val>
            <c:numRef>
              <c:f>'Pivot Tables'!$B$55:$B$57</c:f>
              <c:numCache>
                <c:formatCode>General</c:formatCode>
                <c:ptCount val="2"/>
                <c:pt idx="0">
                  <c:v>104</c:v>
                </c:pt>
                <c:pt idx="1">
                  <c:v>97</c:v>
                </c:pt>
              </c:numCache>
            </c:numRef>
          </c:val>
          <c:extLst>
            <c:ext xmlns:c16="http://schemas.microsoft.com/office/drawing/2014/chart" uri="{C3380CC4-5D6E-409C-BE32-E72D297353CC}">
              <c16:uniqueId val="{00000000-6129-4069-8F77-6ABD28A77D9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Student</a:t>
            </a:r>
            <a:r>
              <a:rPr lang="en-US" b="1" baseline="0">
                <a:solidFill>
                  <a:sysClr val="windowText" lastClr="000000"/>
                </a:solidFill>
              </a:rPr>
              <a:t> Count</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Tables'!$B$20:$B$25</c:f>
              <c:strCache>
                <c:ptCount val="5"/>
                <c:pt idx="0">
                  <c:v>100 Level</c:v>
                </c:pt>
                <c:pt idx="1">
                  <c:v>200 Level</c:v>
                </c:pt>
                <c:pt idx="2">
                  <c:v>300 Level</c:v>
                </c:pt>
                <c:pt idx="3">
                  <c:v>400 Level</c:v>
                </c:pt>
                <c:pt idx="4">
                  <c:v>500 Level</c:v>
                </c:pt>
              </c:strCache>
            </c:strRef>
          </c:cat>
          <c:val>
            <c:numRef>
              <c:f>'Pivot Tables'!$C$20:$C$25</c:f>
              <c:numCache>
                <c:formatCode>General</c:formatCode>
                <c:ptCount val="5"/>
                <c:pt idx="0">
                  <c:v>52</c:v>
                </c:pt>
                <c:pt idx="1">
                  <c:v>38</c:v>
                </c:pt>
                <c:pt idx="2">
                  <c:v>38</c:v>
                </c:pt>
                <c:pt idx="3">
                  <c:v>45</c:v>
                </c:pt>
                <c:pt idx="4">
                  <c:v>28</c:v>
                </c:pt>
              </c:numCache>
            </c:numRef>
          </c:val>
          <c:extLst>
            <c:ext xmlns:c16="http://schemas.microsoft.com/office/drawing/2014/chart" uri="{C3380CC4-5D6E-409C-BE32-E72D297353CC}">
              <c16:uniqueId val="{00000000-BF03-4783-97BD-54C8BEE488E4}"/>
            </c:ext>
          </c:extLst>
        </c:ser>
        <c:dLbls>
          <c:showLegendKey val="0"/>
          <c:showVal val="0"/>
          <c:showCatName val="0"/>
          <c:showSerName val="0"/>
          <c:showPercent val="0"/>
          <c:showBubbleSize val="0"/>
        </c:dLbls>
        <c:gapWidth val="219"/>
        <c:overlap val="-27"/>
        <c:axId val="582670352"/>
        <c:axId val="582670712"/>
      </c:barChart>
      <c:catAx>
        <c:axId val="58267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2670712"/>
        <c:crosses val="autoZero"/>
        <c:auto val="1"/>
        <c:lblAlgn val="ctr"/>
        <c:lblOffset val="100"/>
        <c:noMultiLvlLbl val="0"/>
      </c:catAx>
      <c:valAx>
        <c:axId val="582670712"/>
        <c:scaling>
          <c:orientation val="minMax"/>
        </c:scaling>
        <c:delete val="1"/>
        <c:axPos val="l"/>
        <c:numFmt formatCode="General" sourceLinked="1"/>
        <c:majorTickMark val="none"/>
        <c:minorTickMark val="none"/>
        <c:tickLblPos val="nextTo"/>
        <c:crossAx val="5826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Student</a:t>
            </a:r>
            <a:r>
              <a:rPr lang="en-US" b="1" baseline="0">
                <a:solidFill>
                  <a:sysClr val="windowText" lastClr="000000"/>
                </a:solidFill>
              </a:rPr>
              <a:t> Count</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solidFill>
              <a:schemeClr val="tx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Tables'!$B$20:$B$25</c:f>
              <c:strCache>
                <c:ptCount val="5"/>
                <c:pt idx="0">
                  <c:v>100 Level</c:v>
                </c:pt>
                <c:pt idx="1">
                  <c:v>200 Level</c:v>
                </c:pt>
                <c:pt idx="2">
                  <c:v>300 Level</c:v>
                </c:pt>
                <c:pt idx="3">
                  <c:v>400 Level</c:v>
                </c:pt>
                <c:pt idx="4">
                  <c:v>500 Level</c:v>
                </c:pt>
              </c:strCache>
            </c:strRef>
          </c:cat>
          <c:val>
            <c:numRef>
              <c:f>'Pivot Tables'!$C$20:$C$25</c:f>
              <c:numCache>
                <c:formatCode>General</c:formatCode>
                <c:ptCount val="5"/>
                <c:pt idx="0">
                  <c:v>52</c:v>
                </c:pt>
                <c:pt idx="1">
                  <c:v>38</c:v>
                </c:pt>
                <c:pt idx="2">
                  <c:v>38</c:v>
                </c:pt>
                <c:pt idx="3">
                  <c:v>45</c:v>
                </c:pt>
                <c:pt idx="4">
                  <c:v>28</c:v>
                </c:pt>
              </c:numCache>
            </c:numRef>
          </c:val>
          <c:extLst>
            <c:ext xmlns:c16="http://schemas.microsoft.com/office/drawing/2014/chart" uri="{C3380CC4-5D6E-409C-BE32-E72D297353CC}">
              <c16:uniqueId val="{00000000-4540-4934-9786-EA022C557673}"/>
            </c:ext>
          </c:extLst>
        </c:ser>
        <c:dLbls>
          <c:showLegendKey val="0"/>
          <c:showVal val="0"/>
          <c:showCatName val="0"/>
          <c:showSerName val="0"/>
          <c:showPercent val="0"/>
          <c:showBubbleSize val="0"/>
        </c:dLbls>
        <c:gapWidth val="219"/>
        <c:overlap val="-27"/>
        <c:axId val="582670352"/>
        <c:axId val="582670712"/>
      </c:barChart>
      <c:catAx>
        <c:axId val="58267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2670712"/>
        <c:crosses val="autoZero"/>
        <c:auto val="1"/>
        <c:lblAlgn val="ctr"/>
        <c:lblOffset val="100"/>
        <c:noMultiLvlLbl val="0"/>
      </c:catAx>
      <c:valAx>
        <c:axId val="582670712"/>
        <c:scaling>
          <c:orientation val="minMax"/>
        </c:scaling>
        <c:delete val="1"/>
        <c:axPos val="l"/>
        <c:numFmt formatCode="General" sourceLinked="1"/>
        <c:majorTickMark val="none"/>
        <c:minorTickMark val="none"/>
        <c:tickLblPos val="nextTo"/>
        <c:crossAx val="5826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Reporting</a:t>
            </a:r>
            <a:r>
              <a:rPr lang="en-US" b="1" baseline="0">
                <a:solidFill>
                  <a:sysClr val="windowText" lastClr="000000"/>
                </a:solidFill>
              </a:rPr>
              <a:t> Channels</a:t>
            </a:r>
            <a:endParaRPr lang="en-US" b="1">
              <a:solidFill>
                <a:sysClr val="windowText" lastClr="000000"/>
              </a:solidFill>
            </a:endParaRPr>
          </a:p>
        </c:rich>
      </c:tx>
      <c:layout>
        <c:manualLayout>
          <c:xMode val="edge"/>
          <c:yMode val="edge"/>
          <c:x val="0.28740568612510825"/>
          <c:y val="3.1574073210828418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68876580921605"/>
          <c:y val="0.22377243992781029"/>
          <c:w val="0.47200101723082566"/>
          <c:h val="0.70986204809575637"/>
        </c:manualLayout>
      </c:layout>
      <c:barChart>
        <c:barDir val="bar"/>
        <c:grouping val="clustered"/>
        <c:varyColors val="0"/>
        <c:ser>
          <c:idx val="0"/>
          <c:order val="0"/>
          <c:tx>
            <c:strRef>
              <c:f>'Pivot Tables'!$C$28</c:f>
              <c:strCache>
                <c:ptCount val="1"/>
                <c:pt idx="0">
                  <c:v>Total</c:v>
                </c:pt>
              </c:strCache>
            </c:strRef>
          </c:tx>
          <c:spPr>
            <a:solidFill>
              <a:schemeClr val="tx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Tables'!$B$29:$B$35</c:f>
              <c:strCache>
                <c:ptCount val="6"/>
                <c:pt idx="0">
                  <c:v>NGOs/helplines</c:v>
                </c:pt>
                <c:pt idx="1">
                  <c:v>Online complaint portals</c:v>
                </c:pt>
                <c:pt idx="2">
                  <c:v>Others</c:v>
                </c:pt>
                <c:pt idx="3">
                  <c:v>School authorities (e.g,lecturers, HOD)</c:v>
                </c:pt>
                <c:pt idx="4">
                  <c:v>Sexual and gender-based violence officers in faculties</c:v>
                </c:pt>
                <c:pt idx="5">
                  <c:v>Unaware of Any</c:v>
                </c:pt>
              </c:strCache>
            </c:strRef>
          </c:cat>
          <c:val>
            <c:numRef>
              <c:f>'Pivot Tables'!$C$29:$C$35</c:f>
              <c:numCache>
                <c:formatCode>General</c:formatCode>
                <c:ptCount val="6"/>
                <c:pt idx="0">
                  <c:v>13</c:v>
                </c:pt>
                <c:pt idx="1">
                  <c:v>31</c:v>
                </c:pt>
                <c:pt idx="2">
                  <c:v>16</c:v>
                </c:pt>
                <c:pt idx="3">
                  <c:v>64</c:v>
                </c:pt>
                <c:pt idx="4">
                  <c:v>29</c:v>
                </c:pt>
                <c:pt idx="5">
                  <c:v>48</c:v>
                </c:pt>
              </c:numCache>
            </c:numRef>
          </c:val>
          <c:extLst>
            <c:ext xmlns:c16="http://schemas.microsoft.com/office/drawing/2014/chart" uri="{C3380CC4-5D6E-409C-BE32-E72D297353CC}">
              <c16:uniqueId val="{00000000-6F31-4403-ACD8-5DE87270A4D8}"/>
            </c:ext>
          </c:extLst>
        </c:ser>
        <c:dLbls>
          <c:showLegendKey val="0"/>
          <c:showVal val="0"/>
          <c:showCatName val="0"/>
          <c:showSerName val="0"/>
          <c:showPercent val="0"/>
          <c:showBubbleSize val="0"/>
        </c:dLbls>
        <c:gapWidth val="182"/>
        <c:axId val="580026584"/>
        <c:axId val="580027304"/>
      </c:barChart>
      <c:catAx>
        <c:axId val="580026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580027304"/>
        <c:crosses val="autoZero"/>
        <c:auto val="1"/>
        <c:lblAlgn val="ctr"/>
        <c:lblOffset val="100"/>
        <c:noMultiLvlLbl val="0"/>
      </c:catAx>
      <c:valAx>
        <c:axId val="580027304"/>
        <c:scaling>
          <c:orientation val="minMax"/>
        </c:scaling>
        <c:delete val="1"/>
        <c:axPos val="b"/>
        <c:numFmt formatCode="General" sourceLinked="1"/>
        <c:majorTickMark val="none"/>
        <c:minorTickMark val="none"/>
        <c:tickLblPos val="nextTo"/>
        <c:crossAx val="580026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Channel</a:t>
            </a:r>
            <a:r>
              <a:rPr lang="en-US" b="1" baseline="0">
                <a:solidFill>
                  <a:sysClr val="windowText" lastClr="000000"/>
                </a:solidFill>
              </a:rPr>
              <a:t> Awareness Increases with Level</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ysClr val="windowText" lastClr="000000"/>
            </a:solidFill>
            <a:round/>
          </a:ln>
          <a:effectLst>
            <a:outerShdw blurRad="50800" dist="38100" dir="2700000" algn="tl" rotWithShape="0">
              <a:prstClr val="black">
                <a:alpha val="40000"/>
              </a:prstClr>
            </a:outerShdw>
          </a:effectLst>
        </c:spPr>
        <c:marker>
          <c:symbol val="circle"/>
          <c:size val="5"/>
          <c:spPr>
            <a:solidFill>
              <a:schemeClr val="tx1"/>
            </a:solidFill>
            <a:ln w="9525">
              <a:solidFill>
                <a:sysClr val="windowText" lastClr="000000"/>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16523201122713E-2"/>
          <c:y val="0.26974352677043251"/>
          <c:w val="0.74123806480149879"/>
          <c:h val="0.58397620985576171"/>
        </c:manualLayout>
      </c:layout>
      <c:lineChart>
        <c:grouping val="standard"/>
        <c:varyColors val="0"/>
        <c:ser>
          <c:idx val="0"/>
          <c:order val="0"/>
          <c:tx>
            <c:strRef>
              <c:f>'Pivot Tables'!$C$38:$C$39</c:f>
              <c:strCache>
                <c:ptCount val="1"/>
                <c:pt idx="0">
                  <c:v>No</c:v>
                </c:pt>
              </c:strCache>
            </c:strRef>
          </c:tx>
          <c:spPr>
            <a:ln w="28575" cap="rnd">
              <a:solidFill>
                <a:schemeClr val="bg1"/>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bg1"/>
                </a:solidFill>
              </a:ln>
              <a:effectLst>
                <a:outerShdw blurRad="50800" dist="38100" dir="2700000" algn="tl" rotWithShape="0">
                  <a:prstClr val="black">
                    <a:alpha val="40000"/>
                  </a:prstClr>
                </a:outerShdw>
              </a:effectLst>
            </c:spPr>
          </c:marker>
          <c:cat>
            <c:strRef>
              <c:f>'Pivot Tables'!$B$40:$B$45</c:f>
              <c:strCache>
                <c:ptCount val="5"/>
                <c:pt idx="0">
                  <c:v>100 Level</c:v>
                </c:pt>
                <c:pt idx="1">
                  <c:v>200 Level</c:v>
                </c:pt>
                <c:pt idx="2">
                  <c:v>300 Level</c:v>
                </c:pt>
                <c:pt idx="3">
                  <c:v>400 Level</c:v>
                </c:pt>
                <c:pt idx="4">
                  <c:v>500 Level</c:v>
                </c:pt>
              </c:strCache>
            </c:strRef>
          </c:cat>
          <c:val>
            <c:numRef>
              <c:f>'Pivot Tables'!$C$40:$C$45</c:f>
              <c:numCache>
                <c:formatCode>General</c:formatCode>
                <c:ptCount val="5"/>
                <c:pt idx="0">
                  <c:v>40</c:v>
                </c:pt>
                <c:pt idx="1">
                  <c:v>25</c:v>
                </c:pt>
                <c:pt idx="2">
                  <c:v>18</c:v>
                </c:pt>
                <c:pt idx="3">
                  <c:v>14</c:v>
                </c:pt>
                <c:pt idx="4">
                  <c:v>7</c:v>
                </c:pt>
              </c:numCache>
            </c:numRef>
          </c:val>
          <c:smooth val="0"/>
          <c:extLst>
            <c:ext xmlns:c16="http://schemas.microsoft.com/office/drawing/2014/chart" uri="{C3380CC4-5D6E-409C-BE32-E72D297353CC}">
              <c16:uniqueId val="{00000000-E2E7-4F55-A227-F0E2C0A27A2B}"/>
            </c:ext>
          </c:extLst>
        </c:ser>
        <c:ser>
          <c:idx val="1"/>
          <c:order val="1"/>
          <c:tx>
            <c:strRef>
              <c:f>'Pivot Tables'!$D$38:$D$39</c:f>
              <c:strCache>
                <c:ptCount val="1"/>
                <c:pt idx="0">
                  <c:v>Yes</c:v>
                </c:pt>
              </c:strCache>
            </c:strRef>
          </c:tx>
          <c:spPr>
            <a:ln w="28575" cap="rnd">
              <a:solidFill>
                <a:sysClr val="windowText" lastClr="000000"/>
              </a:solidFill>
              <a:round/>
            </a:ln>
            <a:effectLst>
              <a:outerShdw blurRad="50800" dist="38100" dir="2700000" algn="tl" rotWithShape="0">
                <a:prstClr val="black">
                  <a:alpha val="40000"/>
                </a:prstClr>
              </a:outerShdw>
            </a:effectLst>
          </c:spPr>
          <c:marker>
            <c:symbol val="circle"/>
            <c:size val="5"/>
            <c:spPr>
              <a:solidFill>
                <a:schemeClr val="tx1"/>
              </a:solidFill>
              <a:ln w="9525">
                <a:solidFill>
                  <a:sysClr val="windowText" lastClr="000000"/>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Tables'!$B$40:$B$45</c:f>
              <c:strCache>
                <c:ptCount val="5"/>
                <c:pt idx="0">
                  <c:v>100 Level</c:v>
                </c:pt>
                <c:pt idx="1">
                  <c:v>200 Level</c:v>
                </c:pt>
                <c:pt idx="2">
                  <c:v>300 Level</c:v>
                </c:pt>
                <c:pt idx="3">
                  <c:v>400 Level</c:v>
                </c:pt>
                <c:pt idx="4">
                  <c:v>500 Level</c:v>
                </c:pt>
              </c:strCache>
            </c:strRef>
          </c:cat>
          <c:val>
            <c:numRef>
              <c:f>'Pivot Tables'!$D$40:$D$45</c:f>
              <c:numCache>
                <c:formatCode>General</c:formatCode>
                <c:ptCount val="5"/>
                <c:pt idx="0">
                  <c:v>12</c:v>
                </c:pt>
                <c:pt idx="1">
                  <c:v>13</c:v>
                </c:pt>
                <c:pt idx="2">
                  <c:v>20</c:v>
                </c:pt>
                <c:pt idx="3">
                  <c:v>31</c:v>
                </c:pt>
                <c:pt idx="4">
                  <c:v>21</c:v>
                </c:pt>
              </c:numCache>
            </c:numRef>
          </c:val>
          <c:smooth val="0"/>
          <c:extLst>
            <c:ext xmlns:c16="http://schemas.microsoft.com/office/drawing/2014/chart" uri="{C3380CC4-5D6E-409C-BE32-E72D297353CC}">
              <c16:uniqueId val="{00000000-32DB-40BF-8623-4EDA010EAC3D}"/>
            </c:ext>
          </c:extLst>
        </c:ser>
        <c:dLbls>
          <c:showLegendKey val="0"/>
          <c:showVal val="0"/>
          <c:showCatName val="0"/>
          <c:showSerName val="0"/>
          <c:showPercent val="0"/>
          <c:showBubbleSize val="0"/>
        </c:dLbls>
        <c:marker val="1"/>
        <c:smooth val="0"/>
        <c:axId val="467542664"/>
        <c:axId val="467540864"/>
      </c:lineChart>
      <c:catAx>
        <c:axId val="4675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67540864"/>
        <c:crosses val="autoZero"/>
        <c:auto val="1"/>
        <c:lblAlgn val="ctr"/>
        <c:lblOffset val="100"/>
        <c:noMultiLvlLbl val="0"/>
      </c:catAx>
      <c:valAx>
        <c:axId val="467540864"/>
        <c:scaling>
          <c:orientation val="minMax"/>
        </c:scaling>
        <c:delete val="1"/>
        <c:axPos val="l"/>
        <c:numFmt formatCode="General" sourceLinked="1"/>
        <c:majorTickMark val="none"/>
        <c:minorTickMark val="none"/>
        <c:tickLblPos val="nextTo"/>
        <c:crossAx val="467542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Whatsapp Dominates</a:t>
            </a:r>
            <a:endParaRPr lang="en-US" b="1">
              <a:solidFill>
                <a:sysClr val="windowText" lastClr="000000"/>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62739347387232E-2"/>
          <c:y val="0.21979249003558357"/>
          <c:w val="0.92855855245410579"/>
          <c:h val="0.64273635801161477"/>
        </c:manualLayout>
      </c:layout>
      <c:barChart>
        <c:barDir val="col"/>
        <c:grouping val="clustered"/>
        <c:varyColors val="0"/>
        <c:ser>
          <c:idx val="0"/>
          <c:order val="0"/>
          <c:tx>
            <c:strRef>
              <c:f>'Pivot Tables'!$H$43</c:f>
              <c:strCache>
                <c:ptCount val="1"/>
                <c:pt idx="0">
                  <c:v>Total</c:v>
                </c:pt>
              </c:strCache>
            </c:strRef>
          </c:tx>
          <c:spPr>
            <a:solidFill>
              <a:schemeClr val="tx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Tables'!$G$44:$G$49</c:f>
              <c:strCache>
                <c:ptCount val="5"/>
                <c:pt idx="0">
                  <c:v>Facebook</c:v>
                </c:pt>
                <c:pt idx="1">
                  <c:v>Instagram</c:v>
                </c:pt>
                <c:pt idx="2">
                  <c:v>TikTok</c:v>
                </c:pt>
                <c:pt idx="3">
                  <c:v>Twitter(X)</c:v>
                </c:pt>
                <c:pt idx="4">
                  <c:v>WhatsApp</c:v>
                </c:pt>
              </c:strCache>
            </c:strRef>
          </c:cat>
          <c:val>
            <c:numRef>
              <c:f>'Pivot Tables'!$H$44:$H$49</c:f>
              <c:numCache>
                <c:formatCode>General</c:formatCode>
                <c:ptCount val="5"/>
                <c:pt idx="0">
                  <c:v>16</c:v>
                </c:pt>
                <c:pt idx="1">
                  <c:v>19</c:v>
                </c:pt>
                <c:pt idx="2">
                  <c:v>16</c:v>
                </c:pt>
                <c:pt idx="3">
                  <c:v>21</c:v>
                </c:pt>
                <c:pt idx="4">
                  <c:v>129</c:v>
                </c:pt>
              </c:numCache>
            </c:numRef>
          </c:val>
          <c:extLst>
            <c:ext xmlns:c16="http://schemas.microsoft.com/office/drawing/2014/chart" uri="{C3380CC4-5D6E-409C-BE32-E72D297353CC}">
              <c16:uniqueId val="{00000004-823F-4387-8684-077A1794B54C}"/>
            </c:ext>
          </c:extLst>
        </c:ser>
        <c:dLbls>
          <c:dLblPos val="outEnd"/>
          <c:showLegendKey val="0"/>
          <c:showVal val="1"/>
          <c:showCatName val="0"/>
          <c:showSerName val="0"/>
          <c:showPercent val="0"/>
          <c:showBubbleSize val="0"/>
        </c:dLbls>
        <c:gapWidth val="219"/>
        <c:overlap val="-27"/>
        <c:axId val="394260224"/>
        <c:axId val="394261304"/>
      </c:barChart>
      <c:catAx>
        <c:axId val="3942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4261304"/>
        <c:crosses val="autoZero"/>
        <c:auto val="1"/>
        <c:lblAlgn val="ctr"/>
        <c:lblOffset val="100"/>
        <c:noMultiLvlLbl val="0"/>
      </c:catAx>
      <c:valAx>
        <c:axId val="394261304"/>
        <c:scaling>
          <c:orientation val="minMax"/>
        </c:scaling>
        <c:delete val="1"/>
        <c:axPos val="l"/>
        <c:numFmt formatCode="General" sourceLinked="1"/>
        <c:majorTickMark val="none"/>
        <c:minorTickMark val="none"/>
        <c:tickLblPos val="nextTo"/>
        <c:crossAx val="39426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Year reaseach analysis 12.xlsx]Pivot Tables!PivotTable12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Awareness</a:t>
            </a:r>
            <a:r>
              <a:rPr lang="en-US" b="1" baseline="0">
                <a:solidFill>
                  <a:schemeClr val="tx1"/>
                </a:solidFill>
              </a:rPr>
              <a:t> aganst willingness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17418621462483"/>
          <c:y val="0.16003997373887147"/>
          <c:w val="0.47957513618954734"/>
          <c:h val="0.83573830122684445"/>
        </c:manualLayout>
      </c:layout>
      <c:barChart>
        <c:barDir val="bar"/>
        <c:grouping val="clustered"/>
        <c:varyColors val="0"/>
        <c:ser>
          <c:idx val="0"/>
          <c:order val="0"/>
          <c:tx>
            <c:strRef>
              <c:f>'Pivot Tables'!$H$54:$H$55</c:f>
              <c:strCache>
                <c:ptCount val="1"/>
                <c:pt idx="0">
                  <c:v>No</c:v>
                </c:pt>
              </c:strCache>
            </c:strRef>
          </c:tx>
          <c:spPr>
            <a:solidFill>
              <a:schemeClr val="bg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Tables'!$H$56:$H$59</c:f>
              <c:numCache>
                <c:formatCode>General</c:formatCode>
                <c:ptCount val="3"/>
                <c:pt idx="0">
                  <c:v>15</c:v>
                </c:pt>
                <c:pt idx="2">
                  <c:v>7</c:v>
                </c:pt>
              </c:numCache>
            </c:numRef>
          </c:val>
          <c:extLst>
            <c:ext xmlns:c16="http://schemas.microsoft.com/office/drawing/2014/chart" uri="{C3380CC4-5D6E-409C-BE32-E72D297353CC}">
              <c16:uniqueId val="{00000000-EBAD-4CA2-911E-516C209BB4A9}"/>
            </c:ext>
          </c:extLst>
        </c:ser>
        <c:ser>
          <c:idx val="1"/>
          <c:order val="1"/>
          <c:tx>
            <c:strRef>
              <c:f>'Pivot Tables'!$I$54:$I$55</c:f>
              <c:strCache>
                <c:ptCount val="1"/>
                <c:pt idx="0">
                  <c:v>Not sure</c:v>
                </c:pt>
              </c:strCache>
            </c:strRef>
          </c:tx>
          <c:spPr>
            <a:solidFill>
              <a:schemeClr val="accent3">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Tables'!$I$56:$I$59</c:f>
              <c:numCache>
                <c:formatCode>General</c:formatCode>
                <c:ptCount val="3"/>
                <c:pt idx="0">
                  <c:v>34</c:v>
                </c:pt>
                <c:pt idx="2">
                  <c:v>5</c:v>
                </c:pt>
              </c:numCache>
            </c:numRef>
          </c:val>
          <c:extLst>
            <c:ext xmlns:c16="http://schemas.microsoft.com/office/drawing/2014/chart" uri="{C3380CC4-5D6E-409C-BE32-E72D297353CC}">
              <c16:uniqueId val="{00000001-EBAD-4CA2-911E-516C209BB4A9}"/>
            </c:ext>
          </c:extLst>
        </c:ser>
        <c:ser>
          <c:idx val="2"/>
          <c:order val="2"/>
          <c:tx>
            <c:strRef>
              <c:f>'Pivot Tables'!$J$54:$J$55</c:f>
              <c:strCache>
                <c:ptCount val="1"/>
                <c:pt idx="0">
                  <c:v>Yes</c:v>
                </c:pt>
              </c:strCache>
            </c:strRef>
          </c:tx>
          <c:spPr>
            <a:solidFill>
              <a:schemeClr val="tx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Tables'!$G$56:$G$59</c:f>
              <c:strCache>
                <c:ptCount val="3"/>
                <c:pt idx="0">
                  <c:v>No</c:v>
                </c:pt>
                <c:pt idx="1">
                  <c:v>Unsure</c:v>
                </c:pt>
                <c:pt idx="2">
                  <c:v>Yes</c:v>
                </c:pt>
              </c:strCache>
            </c:strRef>
          </c:cat>
          <c:val>
            <c:numRef>
              <c:f>'Pivot Tables'!$J$56:$J$59</c:f>
              <c:numCache>
                <c:formatCode>General</c:formatCode>
                <c:ptCount val="3"/>
                <c:pt idx="0">
                  <c:v>81</c:v>
                </c:pt>
                <c:pt idx="1">
                  <c:v>2</c:v>
                </c:pt>
                <c:pt idx="2">
                  <c:v>57</c:v>
                </c:pt>
              </c:numCache>
            </c:numRef>
          </c:val>
          <c:extLst>
            <c:ext xmlns:c16="http://schemas.microsoft.com/office/drawing/2014/chart" uri="{C3380CC4-5D6E-409C-BE32-E72D297353CC}">
              <c16:uniqueId val="{00000002-EBAD-4CA2-911E-516C209BB4A9}"/>
            </c:ext>
          </c:extLst>
        </c:ser>
        <c:dLbls>
          <c:dLblPos val="outEnd"/>
          <c:showLegendKey val="0"/>
          <c:showVal val="1"/>
          <c:showCatName val="0"/>
          <c:showSerName val="0"/>
          <c:showPercent val="0"/>
          <c:showBubbleSize val="0"/>
        </c:dLbls>
        <c:gapWidth val="219"/>
        <c:axId val="647188120"/>
        <c:axId val="647184520"/>
      </c:barChart>
      <c:catAx>
        <c:axId val="64718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84520"/>
        <c:crosses val="autoZero"/>
        <c:auto val="1"/>
        <c:lblAlgn val="ctr"/>
        <c:lblOffset val="100"/>
        <c:noMultiLvlLbl val="0"/>
      </c:catAx>
      <c:valAx>
        <c:axId val="647184520"/>
        <c:scaling>
          <c:orientation val="minMax"/>
        </c:scaling>
        <c:delete val="1"/>
        <c:axPos val="b"/>
        <c:numFmt formatCode="General" sourceLinked="1"/>
        <c:majorTickMark val="none"/>
        <c:minorTickMark val="none"/>
        <c:tickLblPos val="nextTo"/>
        <c:crossAx val="647188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4.xml"/><Relationship Id="rId3" Type="http://schemas.openxmlformats.org/officeDocument/2006/relationships/hyperlink" Target="#'Pivot Tables'!A1"/><Relationship Id="rId7" Type="http://schemas.openxmlformats.org/officeDocument/2006/relationships/image" Target="../media/image3.png"/><Relationship Id="rId12" Type="http://schemas.openxmlformats.org/officeDocument/2006/relationships/chart" Target="../charts/chart3.xml"/><Relationship Id="rId2" Type="http://schemas.openxmlformats.org/officeDocument/2006/relationships/hyperlink" Target="#Cleaned_data!A1"/><Relationship Id="rId1" Type="http://schemas.openxmlformats.org/officeDocument/2006/relationships/hyperlink" Target="#Raw_Data!A1"/><Relationship Id="rId6" Type="http://schemas.openxmlformats.org/officeDocument/2006/relationships/image" Target="../media/image2.svg"/><Relationship Id="rId11" Type="http://schemas.openxmlformats.org/officeDocument/2006/relationships/chart" Target="../charts/chart2.xml"/><Relationship Id="rId5" Type="http://schemas.openxmlformats.org/officeDocument/2006/relationships/image" Target="../media/image1.png"/><Relationship Id="rId15" Type="http://schemas.openxmlformats.org/officeDocument/2006/relationships/chart" Target="../charts/chart6.xml"/><Relationship Id="rId10" Type="http://schemas.openxmlformats.org/officeDocument/2006/relationships/image" Target="../media/image6.svg"/><Relationship Id="rId4" Type="http://schemas.openxmlformats.org/officeDocument/2006/relationships/chart" Target="../charts/chart1.xml"/><Relationship Id="rId9" Type="http://schemas.openxmlformats.org/officeDocument/2006/relationships/image" Target="../media/image5.pn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10.xml"/><Relationship Id="rId5" Type="http://schemas.openxmlformats.org/officeDocument/2006/relationships/image" Target="../media/image11.png"/><Relationship Id="rId10" Type="http://schemas.openxmlformats.org/officeDocument/2006/relationships/chart" Target="../charts/chart9.xml"/><Relationship Id="rId4" Type="http://schemas.openxmlformats.org/officeDocument/2006/relationships/image" Target="../media/image10.sv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107950</xdr:colOff>
      <xdr:row>78</xdr:row>
      <xdr:rowOff>133351</xdr:rowOff>
    </xdr:from>
    <xdr:to>
      <xdr:col>1</xdr:col>
      <xdr:colOff>1073150</xdr:colOff>
      <xdr:row>83</xdr:row>
      <xdr:rowOff>139701</xdr:rowOff>
    </xdr:to>
    <mc:AlternateContent xmlns:mc="http://schemas.openxmlformats.org/markup-compatibility/2006" xmlns:a14="http://schemas.microsoft.com/office/drawing/2010/main">
      <mc:Choice Requires="a14">
        <xdr:graphicFrame macro="">
          <xdr:nvGraphicFramePr>
            <xdr:cNvPr id="7" name="Awareness_Of_Reporting_Channels 1">
              <a:extLst>
                <a:ext uri="{FF2B5EF4-FFF2-40B4-BE49-F238E27FC236}">
                  <a16:creationId xmlns:a16="http://schemas.microsoft.com/office/drawing/2014/main" id="{B8A95E72-8451-0B6D-67D0-55CB7A67942F}"/>
                </a:ext>
              </a:extLst>
            </xdr:cNvPr>
            <xdr:cNvGraphicFramePr/>
          </xdr:nvGraphicFramePr>
          <xdr:xfrm>
            <a:off x="0" y="0"/>
            <a:ext cx="0" cy="0"/>
          </xdr:xfrm>
          <a:graphic>
            <a:graphicData uri="http://schemas.microsoft.com/office/drawing/2010/slicer">
              <sle:slicer xmlns:sle="http://schemas.microsoft.com/office/drawing/2010/slicer" name="Awareness_Of_Reporting_Channels 1"/>
            </a:graphicData>
          </a:graphic>
        </xdr:graphicFrame>
      </mc:Choice>
      <mc:Fallback xmlns="">
        <xdr:sp macro="" textlink="">
          <xdr:nvSpPr>
            <xdr:cNvPr id="0" name=""/>
            <xdr:cNvSpPr>
              <a:spLocks noTextEdit="1"/>
            </xdr:cNvSpPr>
          </xdr:nvSpPr>
          <xdr:spPr>
            <a:xfrm>
              <a:off x="107950" y="14497051"/>
              <a:ext cx="18288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55563</xdr:colOff>
      <xdr:row>29</xdr:row>
      <xdr:rowOff>31749</xdr:rowOff>
    </xdr:from>
    <xdr:to>
      <xdr:col>22</xdr:col>
      <xdr:colOff>571501</xdr:colOff>
      <xdr:row>38</xdr:row>
      <xdr:rowOff>87312</xdr:rowOff>
    </xdr:to>
    <xdr:sp macro="" textlink="">
      <xdr:nvSpPr>
        <xdr:cNvPr id="55" name="Rectangle 54">
          <a:extLst>
            <a:ext uri="{FF2B5EF4-FFF2-40B4-BE49-F238E27FC236}">
              <a16:creationId xmlns:a16="http://schemas.microsoft.com/office/drawing/2014/main" id="{26EB3306-0E6C-68EA-4E4B-2B3D863D602A}"/>
            </a:ext>
          </a:extLst>
        </xdr:cNvPr>
        <xdr:cNvSpPr/>
      </xdr:nvSpPr>
      <xdr:spPr>
        <a:xfrm>
          <a:off x="1277938" y="5326062"/>
          <a:ext cx="12739688" cy="1698625"/>
        </a:xfrm>
        <a:prstGeom prst="rect">
          <a:avLst/>
        </a:prstGeom>
        <a:solidFill>
          <a:srgbClr val="20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155006</xdr:colOff>
      <xdr:row>0</xdr:row>
      <xdr:rowOff>129195</xdr:rowOff>
    </xdr:from>
    <xdr:to>
      <xdr:col>23</xdr:col>
      <xdr:colOff>6056</xdr:colOff>
      <xdr:row>30</xdr:row>
      <xdr:rowOff>58640</xdr:rowOff>
    </xdr:to>
    <xdr:grpSp>
      <xdr:nvGrpSpPr>
        <xdr:cNvPr id="2" name="Group 1">
          <a:extLst>
            <a:ext uri="{FF2B5EF4-FFF2-40B4-BE49-F238E27FC236}">
              <a16:creationId xmlns:a16="http://schemas.microsoft.com/office/drawing/2014/main" id="{7109D642-D004-D285-2D52-7AC32CD9CB37}"/>
            </a:ext>
          </a:extLst>
        </xdr:cNvPr>
        <xdr:cNvGrpSpPr/>
      </xdr:nvGrpSpPr>
      <xdr:grpSpPr>
        <a:xfrm>
          <a:off x="155006" y="129195"/>
          <a:ext cx="13908363" cy="5406320"/>
          <a:chOff x="289291" y="125433"/>
          <a:chExt cx="13743232" cy="5338703"/>
        </a:xfrm>
      </xdr:grpSpPr>
      <xdr:sp macro="" textlink="">
        <xdr:nvSpPr>
          <xdr:cNvPr id="3" name="Rectangle: Rounded Corners 2">
            <a:extLst>
              <a:ext uri="{FF2B5EF4-FFF2-40B4-BE49-F238E27FC236}">
                <a16:creationId xmlns:a16="http://schemas.microsoft.com/office/drawing/2014/main" id="{2FD43238-1039-08D1-0089-F71DD2968B4B}"/>
              </a:ext>
            </a:extLst>
          </xdr:cNvPr>
          <xdr:cNvSpPr/>
        </xdr:nvSpPr>
        <xdr:spPr>
          <a:xfrm>
            <a:off x="289291" y="125433"/>
            <a:ext cx="13743232" cy="4460678"/>
          </a:xfrm>
          <a:prstGeom prst="roundRect">
            <a:avLst/>
          </a:prstGeom>
          <a:solidFill>
            <a:srgbClr val="002060">
              <a:alpha val="89804"/>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sp macro="" textlink="">
        <xdr:nvSpPr>
          <xdr:cNvPr id="4" name="Rectangle 3">
            <a:extLst>
              <a:ext uri="{FF2B5EF4-FFF2-40B4-BE49-F238E27FC236}">
                <a16:creationId xmlns:a16="http://schemas.microsoft.com/office/drawing/2014/main" id="{85C0B1A7-9060-984F-45E5-C59728626FBC}"/>
              </a:ext>
            </a:extLst>
          </xdr:cNvPr>
          <xdr:cNvSpPr/>
        </xdr:nvSpPr>
        <xdr:spPr>
          <a:xfrm>
            <a:off x="1411401" y="909383"/>
            <a:ext cx="12582409" cy="4554753"/>
          </a:xfrm>
          <a:prstGeom prst="rect">
            <a:avLst/>
          </a:prstGeom>
          <a:solidFill>
            <a:schemeClr val="accent1">
              <a:lumMod val="50000"/>
              <a:alpha val="80000"/>
            </a:schemeClr>
          </a:solidFill>
          <a:ln w="57150">
            <a:solidFill>
              <a:schemeClr val="accent4">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solidFill>
                <a:srgbClr val="203864"/>
              </a:solidFill>
            </a:endParaRPr>
          </a:p>
        </xdr:txBody>
      </xdr:sp>
    </xdr:grpSp>
    <xdr:clientData/>
  </xdr:twoCellAnchor>
  <xdr:twoCellAnchor>
    <xdr:from>
      <xdr:col>1</xdr:col>
      <xdr:colOff>587863</xdr:colOff>
      <xdr:row>1</xdr:row>
      <xdr:rowOff>62618</xdr:rowOff>
    </xdr:from>
    <xdr:to>
      <xdr:col>4</xdr:col>
      <xdr:colOff>39688</xdr:colOff>
      <xdr:row>3</xdr:row>
      <xdr:rowOff>23812</xdr:rowOff>
    </xdr:to>
    <xdr:sp macro="" textlink="">
      <xdr:nvSpPr>
        <xdr:cNvPr id="11" name="TextBox 10">
          <a:extLst>
            <a:ext uri="{FF2B5EF4-FFF2-40B4-BE49-F238E27FC236}">
              <a16:creationId xmlns:a16="http://schemas.microsoft.com/office/drawing/2014/main" id="{3D7D7A71-10CA-EC06-3737-29FD3B71F183}"/>
            </a:ext>
          </a:extLst>
        </xdr:cNvPr>
        <xdr:cNvSpPr txBox="1"/>
      </xdr:nvSpPr>
      <xdr:spPr>
        <a:xfrm>
          <a:off x="1199051" y="245181"/>
          <a:ext cx="1285387" cy="326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lumMod val="60000"/>
                  <a:lumOff val="40000"/>
                </a:schemeClr>
              </a:solidFill>
            </a:rPr>
            <a:t>Total Respondents</a:t>
          </a:r>
        </a:p>
      </xdr:txBody>
    </xdr:sp>
    <xdr:clientData/>
  </xdr:twoCellAnchor>
  <xdr:twoCellAnchor>
    <xdr:from>
      <xdr:col>9</xdr:col>
      <xdr:colOff>158770</xdr:colOff>
      <xdr:row>1</xdr:row>
      <xdr:rowOff>73810</xdr:rowOff>
    </xdr:from>
    <xdr:to>
      <xdr:col>11</xdr:col>
      <xdr:colOff>103189</xdr:colOff>
      <xdr:row>2</xdr:row>
      <xdr:rowOff>142876</xdr:rowOff>
    </xdr:to>
    <xdr:sp macro="" textlink="">
      <xdr:nvSpPr>
        <xdr:cNvPr id="12" name="TextBox 11">
          <a:extLst>
            <a:ext uri="{FF2B5EF4-FFF2-40B4-BE49-F238E27FC236}">
              <a16:creationId xmlns:a16="http://schemas.microsoft.com/office/drawing/2014/main" id="{9E432D37-1041-0B56-5D1C-34BC422D6406}"/>
            </a:ext>
          </a:extLst>
        </xdr:cNvPr>
        <xdr:cNvSpPr txBox="1"/>
      </xdr:nvSpPr>
      <xdr:spPr>
        <a:xfrm>
          <a:off x="5659458" y="256373"/>
          <a:ext cx="1166794" cy="25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Awareness</a:t>
          </a:r>
          <a:r>
            <a:rPr lang="en-US" sz="1050" b="1" baseline="0">
              <a:solidFill>
                <a:schemeClr val="accent4">
                  <a:lumMod val="60000"/>
                  <a:lumOff val="40000"/>
                </a:schemeClr>
              </a:solidFill>
            </a:rPr>
            <a:t> Rate:</a:t>
          </a:r>
          <a:endParaRPr lang="en-US" sz="1050" b="1">
            <a:solidFill>
              <a:schemeClr val="accent4">
                <a:lumMod val="60000"/>
                <a:lumOff val="40000"/>
              </a:schemeClr>
            </a:solidFill>
          </a:endParaRPr>
        </a:p>
      </xdr:txBody>
    </xdr:sp>
    <xdr:clientData/>
  </xdr:twoCellAnchor>
  <xdr:twoCellAnchor>
    <xdr:from>
      <xdr:col>15</xdr:col>
      <xdr:colOff>457083</xdr:colOff>
      <xdr:row>0</xdr:row>
      <xdr:rowOff>172802</xdr:rowOff>
    </xdr:from>
    <xdr:to>
      <xdr:col>18</xdr:col>
      <xdr:colOff>222250</xdr:colOff>
      <xdr:row>3</xdr:row>
      <xdr:rowOff>23812</xdr:rowOff>
    </xdr:to>
    <xdr:sp macro="" textlink="">
      <xdr:nvSpPr>
        <xdr:cNvPr id="13" name="TextBox 12">
          <a:extLst>
            <a:ext uri="{FF2B5EF4-FFF2-40B4-BE49-F238E27FC236}">
              <a16:creationId xmlns:a16="http://schemas.microsoft.com/office/drawing/2014/main" id="{3BCEA892-EAD8-05CC-4B23-2D27534C5A95}"/>
            </a:ext>
          </a:extLst>
        </xdr:cNvPr>
        <xdr:cNvSpPr txBox="1"/>
      </xdr:nvSpPr>
      <xdr:spPr>
        <a:xfrm>
          <a:off x="9624896" y="172802"/>
          <a:ext cx="1598729" cy="39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Most</a:t>
          </a:r>
          <a:r>
            <a:rPr lang="en-US" sz="1050" b="1" baseline="0">
              <a:solidFill>
                <a:schemeClr val="accent4">
                  <a:lumMod val="60000"/>
                  <a:lumOff val="40000"/>
                </a:schemeClr>
              </a:solidFill>
            </a:rPr>
            <a:t> Effective Platform</a:t>
          </a:r>
          <a:endParaRPr lang="en-US" sz="1050" b="1">
            <a:solidFill>
              <a:schemeClr val="accent4">
                <a:lumMod val="60000"/>
                <a:lumOff val="40000"/>
              </a:schemeClr>
            </a:solidFill>
          </a:endParaRPr>
        </a:p>
      </xdr:txBody>
    </xdr:sp>
    <xdr:clientData/>
  </xdr:twoCellAnchor>
  <xdr:twoCellAnchor>
    <xdr:from>
      <xdr:col>18</xdr:col>
      <xdr:colOff>277675</xdr:colOff>
      <xdr:row>0</xdr:row>
      <xdr:rowOff>112751</xdr:rowOff>
    </xdr:from>
    <xdr:to>
      <xdr:col>20</xdr:col>
      <xdr:colOff>309563</xdr:colOff>
      <xdr:row>3</xdr:row>
      <xdr:rowOff>15874</xdr:rowOff>
    </xdr:to>
    <xdr:sp macro="" textlink="">
      <xdr:nvSpPr>
        <xdr:cNvPr id="14" name="TextBox 13">
          <a:extLst>
            <a:ext uri="{FF2B5EF4-FFF2-40B4-BE49-F238E27FC236}">
              <a16:creationId xmlns:a16="http://schemas.microsoft.com/office/drawing/2014/main" id="{7A1645E1-C80D-A191-BFD6-9F2B592AAE11}"/>
            </a:ext>
          </a:extLst>
        </xdr:cNvPr>
        <xdr:cNvSpPr txBox="1"/>
      </xdr:nvSpPr>
      <xdr:spPr>
        <a:xfrm>
          <a:off x="11279050" y="112751"/>
          <a:ext cx="1254263" cy="450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Most</a:t>
          </a:r>
          <a:r>
            <a:rPr lang="en-US" sz="1050" b="1" baseline="0">
              <a:solidFill>
                <a:schemeClr val="accent4">
                  <a:lumMod val="60000"/>
                  <a:lumOff val="40000"/>
                </a:schemeClr>
              </a:solidFill>
            </a:rPr>
            <a:t> Known Reporting channel</a:t>
          </a:r>
          <a:endParaRPr lang="en-US" sz="1050" b="1">
            <a:solidFill>
              <a:schemeClr val="accent4">
                <a:lumMod val="60000"/>
                <a:lumOff val="40000"/>
              </a:schemeClr>
            </a:solidFill>
          </a:endParaRPr>
        </a:p>
      </xdr:txBody>
    </xdr:sp>
    <xdr:clientData/>
  </xdr:twoCellAnchor>
  <xdr:twoCellAnchor>
    <xdr:from>
      <xdr:col>4</xdr:col>
      <xdr:colOff>245160</xdr:colOff>
      <xdr:row>1</xdr:row>
      <xdr:rowOff>52703</xdr:rowOff>
    </xdr:from>
    <xdr:to>
      <xdr:col>6</xdr:col>
      <xdr:colOff>301625</xdr:colOff>
      <xdr:row>3</xdr:row>
      <xdr:rowOff>2</xdr:rowOff>
    </xdr:to>
    <xdr:sp macro="" textlink="">
      <xdr:nvSpPr>
        <xdr:cNvPr id="15" name="TextBox 14">
          <a:extLst>
            <a:ext uri="{FF2B5EF4-FFF2-40B4-BE49-F238E27FC236}">
              <a16:creationId xmlns:a16="http://schemas.microsoft.com/office/drawing/2014/main" id="{5AEB23BD-E601-6836-E492-4E48CBA827CC}"/>
            </a:ext>
          </a:extLst>
        </xdr:cNvPr>
        <xdr:cNvSpPr txBox="1"/>
      </xdr:nvSpPr>
      <xdr:spPr>
        <a:xfrm>
          <a:off x="2689910" y="235266"/>
          <a:ext cx="1278840" cy="31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Male</a:t>
          </a:r>
          <a:r>
            <a:rPr lang="en-US" sz="1050" b="1" baseline="0">
              <a:solidFill>
                <a:schemeClr val="accent4">
                  <a:lumMod val="60000"/>
                  <a:lumOff val="40000"/>
                </a:schemeClr>
              </a:solidFill>
            </a:rPr>
            <a:t> </a:t>
          </a:r>
          <a:r>
            <a:rPr lang="en-US" sz="1050" b="1">
              <a:solidFill>
                <a:schemeClr val="accent4">
                  <a:lumMod val="60000"/>
                  <a:lumOff val="40000"/>
                </a:schemeClr>
              </a:solidFill>
            </a:rPr>
            <a:t>Respondents</a:t>
          </a:r>
        </a:p>
      </xdr:txBody>
    </xdr:sp>
    <xdr:clientData/>
  </xdr:twoCellAnchor>
  <xdr:twoCellAnchor>
    <xdr:from>
      <xdr:col>6</xdr:col>
      <xdr:colOff>463901</xdr:colOff>
      <xdr:row>1</xdr:row>
      <xdr:rowOff>32242</xdr:rowOff>
    </xdr:from>
    <xdr:to>
      <xdr:col>9</xdr:col>
      <xdr:colOff>47625</xdr:colOff>
      <xdr:row>2</xdr:row>
      <xdr:rowOff>142876</xdr:rowOff>
    </xdr:to>
    <xdr:sp macro="" textlink="">
      <xdr:nvSpPr>
        <xdr:cNvPr id="16" name="TextBox 15">
          <a:extLst>
            <a:ext uri="{FF2B5EF4-FFF2-40B4-BE49-F238E27FC236}">
              <a16:creationId xmlns:a16="http://schemas.microsoft.com/office/drawing/2014/main" id="{A20EFA85-9C28-47D0-E071-C0F09BC014F1}"/>
            </a:ext>
          </a:extLst>
        </xdr:cNvPr>
        <xdr:cNvSpPr txBox="1"/>
      </xdr:nvSpPr>
      <xdr:spPr>
        <a:xfrm>
          <a:off x="4131026" y="214805"/>
          <a:ext cx="1417287" cy="293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Female Respondents</a:t>
          </a:r>
        </a:p>
      </xdr:txBody>
    </xdr:sp>
    <xdr:clientData/>
  </xdr:twoCellAnchor>
  <xdr:twoCellAnchor>
    <xdr:from>
      <xdr:col>9</xdr:col>
      <xdr:colOff>154282</xdr:colOff>
      <xdr:row>3</xdr:row>
      <xdr:rowOff>69714</xdr:rowOff>
    </xdr:from>
    <xdr:to>
      <xdr:col>11</xdr:col>
      <xdr:colOff>222251</xdr:colOff>
      <xdr:row>4</xdr:row>
      <xdr:rowOff>174625</xdr:rowOff>
    </xdr:to>
    <xdr:sp macro="" textlink="">
      <xdr:nvSpPr>
        <xdr:cNvPr id="17" name="TextBox 16">
          <a:extLst>
            <a:ext uri="{FF2B5EF4-FFF2-40B4-BE49-F238E27FC236}">
              <a16:creationId xmlns:a16="http://schemas.microsoft.com/office/drawing/2014/main" id="{D7ACA5AD-715B-F53B-AD13-328766A94741}"/>
            </a:ext>
          </a:extLst>
        </xdr:cNvPr>
        <xdr:cNvSpPr txBox="1"/>
      </xdr:nvSpPr>
      <xdr:spPr>
        <a:xfrm>
          <a:off x="5654970" y="617402"/>
          <a:ext cx="1290344" cy="28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4">
                  <a:lumMod val="60000"/>
                  <a:lumOff val="40000"/>
                </a:schemeClr>
              </a:solidFill>
            </a:rPr>
            <a:t>Unawareness</a:t>
          </a:r>
          <a:r>
            <a:rPr lang="en-US" sz="1050" b="1" baseline="0">
              <a:solidFill>
                <a:schemeClr val="accent4">
                  <a:lumMod val="60000"/>
                  <a:lumOff val="40000"/>
                </a:schemeClr>
              </a:solidFill>
            </a:rPr>
            <a:t> Rate:</a:t>
          </a:r>
          <a:endParaRPr lang="en-US" sz="1050" b="1">
            <a:solidFill>
              <a:schemeClr val="accent4">
                <a:lumMod val="60000"/>
                <a:lumOff val="40000"/>
              </a:schemeClr>
            </a:solidFill>
          </a:endParaRPr>
        </a:p>
      </xdr:txBody>
    </xdr:sp>
    <xdr:clientData/>
  </xdr:twoCellAnchor>
  <xdr:twoCellAnchor>
    <xdr:from>
      <xdr:col>0</xdr:col>
      <xdr:colOff>219506</xdr:colOff>
      <xdr:row>8</xdr:row>
      <xdr:rowOff>148952</xdr:rowOff>
    </xdr:from>
    <xdr:to>
      <xdr:col>2</xdr:col>
      <xdr:colOff>31357</xdr:colOff>
      <xdr:row>10</xdr:row>
      <xdr:rowOff>62717</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D689F0F6-528A-9F80-AEBC-BAB45C9B4FDB}"/>
            </a:ext>
          </a:extLst>
        </xdr:cNvPr>
        <xdr:cNvSpPr/>
      </xdr:nvSpPr>
      <xdr:spPr>
        <a:xfrm>
          <a:off x="219506" y="1591421"/>
          <a:ext cx="1034814" cy="2743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Raw Data       </a:t>
          </a:r>
        </a:p>
      </xdr:txBody>
    </xdr:sp>
    <xdr:clientData/>
  </xdr:twoCellAnchor>
  <xdr:twoCellAnchor>
    <xdr:from>
      <xdr:col>0</xdr:col>
      <xdr:colOff>222956</xdr:colOff>
      <xdr:row>10</xdr:row>
      <xdr:rowOff>34809</xdr:rowOff>
    </xdr:from>
    <xdr:to>
      <xdr:col>2</xdr:col>
      <xdr:colOff>34807</xdr:colOff>
      <xdr:row>11</xdr:row>
      <xdr:rowOff>128882</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D06F14C2-3647-7D47-8AFC-3FF14818A35C}"/>
            </a:ext>
          </a:extLst>
        </xdr:cNvPr>
        <xdr:cNvSpPr/>
      </xdr:nvSpPr>
      <xdr:spPr>
        <a:xfrm>
          <a:off x="222956" y="1837895"/>
          <a:ext cx="1034814" cy="2743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Cleaned_Data</a:t>
          </a:r>
        </a:p>
      </xdr:txBody>
    </xdr:sp>
    <xdr:clientData/>
  </xdr:twoCellAnchor>
  <xdr:twoCellAnchor>
    <xdr:from>
      <xdr:col>0</xdr:col>
      <xdr:colOff>218565</xdr:colOff>
      <xdr:row>11</xdr:row>
      <xdr:rowOff>108812</xdr:rowOff>
    </xdr:from>
    <xdr:to>
      <xdr:col>2</xdr:col>
      <xdr:colOff>30416</xdr:colOff>
      <xdr:row>13</xdr:row>
      <xdr:rowOff>22577</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53A21DD0-C7DD-1597-DBB6-E4F2231E3724}"/>
            </a:ext>
          </a:extLst>
        </xdr:cNvPr>
        <xdr:cNvSpPr/>
      </xdr:nvSpPr>
      <xdr:spPr>
        <a:xfrm>
          <a:off x="218565" y="2092207"/>
          <a:ext cx="1034814" cy="2743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Pivot</a:t>
          </a:r>
          <a:r>
            <a:rPr lang="en-US" sz="1100" baseline="0"/>
            <a:t>_Tables</a:t>
          </a:r>
          <a:endParaRPr lang="en-US" sz="1100"/>
        </a:p>
      </xdr:txBody>
    </xdr:sp>
    <xdr:clientData/>
  </xdr:twoCellAnchor>
  <xdr:twoCellAnchor>
    <xdr:from>
      <xdr:col>0</xdr:col>
      <xdr:colOff>222014</xdr:colOff>
      <xdr:row>13</xdr:row>
      <xdr:rowOff>26027</xdr:rowOff>
    </xdr:from>
    <xdr:to>
      <xdr:col>2</xdr:col>
      <xdr:colOff>33865</xdr:colOff>
      <xdr:row>14</xdr:row>
      <xdr:rowOff>120100</xdr:rowOff>
    </xdr:to>
    <xdr:sp macro="" textlink="">
      <xdr:nvSpPr>
        <xdr:cNvPr id="22" name="Rectangle 21">
          <a:extLst>
            <a:ext uri="{FF2B5EF4-FFF2-40B4-BE49-F238E27FC236}">
              <a16:creationId xmlns:a16="http://schemas.microsoft.com/office/drawing/2014/main" id="{6231437E-6022-54C0-2F10-576B9C50B583}"/>
            </a:ext>
          </a:extLst>
        </xdr:cNvPr>
        <xdr:cNvSpPr/>
      </xdr:nvSpPr>
      <xdr:spPr>
        <a:xfrm>
          <a:off x="222014" y="2370039"/>
          <a:ext cx="1034814" cy="27438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p>
      </xdr:txBody>
    </xdr:sp>
    <xdr:clientData/>
  </xdr:twoCellAnchor>
  <xdr:twoCellAnchor>
    <xdr:from>
      <xdr:col>15</xdr:col>
      <xdr:colOff>269875</xdr:colOff>
      <xdr:row>5</xdr:row>
      <xdr:rowOff>80963</xdr:rowOff>
    </xdr:from>
    <xdr:to>
      <xdr:col>22</xdr:col>
      <xdr:colOff>495299</xdr:colOff>
      <xdr:row>29</xdr:row>
      <xdr:rowOff>150812</xdr:rowOff>
    </xdr:to>
    <xdr:sp macro="" textlink="">
      <xdr:nvSpPr>
        <xdr:cNvPr id="24" name="Rectangle 23">
          <a:extLst>
            <a:ext uri="{FF2B5EF4-FFF2-40B4-BE49-F238E27FC236}">
              <a16:creationId xmlns:a16="http://schemas.microsoft.com/office/drawing/2014/main" id="{83848BD8-8475-07C7-0971-CA66A7FFBC1D}"/>
            </a:ext>
          </a:extLst>
        </xdr:cNvPr>
        <xdr:cNvSpPr/>
      </xdr:nvSpPr>
      <xdr:spPr>
        <a:xfrm>
          <a:off x="9437688" y="993776"/>
          <a:ext cx="4503736" cy="4451349"/>
        </a:xfrm>
        <a:prstGeom prst="rect">
          <a:avLst/>
        </a:prstGeom>
        <a:solidFill>
          <a:srgbClr val="203864"/>
        </a:solidFill>
        <a:ln w="381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325436</xdr:colOff>
      <xdr:row>5</xdr:row>
      <xdr:rowOff>126999</xdr:rowOff>
    </xdr:from>
    <xdr:to>
      <xdr:col>22</xdr:col>
      <xdr:colOff>420687</xdr:colOff>
      <xdr:row>20</xdr:row>
      <xdr:rowOff>7938</xdr:rowOff>
    </xdr:to>
    <xdr:graphicFrame macro="">
      <xdr:nvGraphicFramePr>
        <xdr:cNvPr id="25" name="Chart 24">
          <a:extLst>
            <a:ext uri="{FF2B5EF4-FFF2-40B4-BE49-F238E27FC236}">
              <a16:creationId xmlns:a16="http://schemas.microsoft.com/office/drawing/2014/main" id="{11F23ED0-A5D9-4D7C-9D6E-64064D2E9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279439</xdr:colOff>
      <xdr:row>2</xdr:row>
      <xdr:rowOff>127000</xdr:rowOff>
    </xdr:from>
    <xdr:to>
      <xdr:col>5</xdr:col>
      <xdr:colOff>95251</xdr:colOff>
      <xdr:row>4</xdr:row>
      <xdr:rowOff>134939</xdr:rowOff>
    </xdr:to>
    <xdr:pic>
      <xdr:nvPicPr>
        <xdr:cNvPr id="27" name="Graphic 26" descr="Man">
          <a:extLst>
            <a:ext uri="{FF2B5EF4-FFF2-40B4-BE49-F238E27FC236}">
              <a16:creationId xmlns:a16="http://schemas.microsoft.com/office/drawing/2014/main" id="{58F31DC3-A8BA-AF05-5F80-516A428B3A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24189" y="492125"/>
          <a:ext cx="427000" cy="373064"/>
        </a:xfrm>
        <a:prstGeom prst="rect">
          <a:avLst/>
        </a:prstGeom>
      </xdr:spPr>
    </xdr:pic>
    <xdr:clientData/>
  </xdr:twoCellAnchor>
  <xdr:twoCellAnchor editAs="oneCell">
    <xdr:from>
      <xdr:col>6</xdr:col>
      <xdr:colOff>492939</xdr:colOff>
      <xdr:row>2</xdr:row>
      <xdr:rowOff>103188</xdr:rowOff>
    </xdr:from>
    <xdr:to>
      <xdr:col>7</xdr:col>
      <xdr:colOff>309563</xdr:colOff>
      <xdr:row>4</xdr:row>
      <xdr:rowOff>142875</xdr:rowOff>
    </xdr:to>
    <xdr:pic>
      <xdr:nvPicPr>
        <xdr:cNvPr id="29" name="Graphic 28" descr="Woman">
          <a:extLst>
            <a:ext uri="{FF2B5EF4-FFF2-40B4-BE49-F238E27FC236}">
              <a16:creationId xmlns:a16="http://schemas.microsoft.com/office/drawing/2014/main" id="{783B036B-3FB9-8FD8-8584-62A9117E7D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0064" y="468313"/>
          <a:ext cx="427812" cy="404812"/>
        </a:xfrm>
        <a:prstGeom prst="rect">
          <a:avLst/>
        </a:prstGeom>
      </xdr:spPr>
    </xdr:pic>
    <xdr:clientData/>
  </xdr:twoCellAnchor>
  <xdr:twoCellAnchor editAs="oneCell">
    <xdr:from>
      <xdr:col>2</xdr:col>
      <xdr:colOff>47624</xdr:colOff>
      <xdr:row>2</xdr:row>
      <xdr:rowOff>63498</xdr:rowOff>
    </xdr:from>
    <xdr:to>
      <xdr:col>2</xdr:col>
      <xdr:colOff>563564</xdr:colOff>
      <xdr:row>5</xdr:row>
      <xdr:rowOff>31750</xdr:rowOff>
    </xdr:to>
    <xdr:pic>
      <xdr:nvPicPr>
        <xdr:cNvPr id="31" name="Graphic 30" descr="Group">
          <a:extLst>
            <a:ext uri="{FF2B5EF4-FFF2-40B4-BE49-F238E27FC236}">
              <a16:creationId xmlns:a16="http://schemas.microsoft.com/office/drawing/2014/main" id="{C506897D-4EC0-9732-EF4F-E3F0CAF7971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9999" y="428623"/>
          <a:ext cx="515940" cy="515940"/>
        </a:xfrm>
        <a:prstGeom prst="rect">
          <a:avLst/>
        </a:prstGeom>
      </xdr:spPr>
    </xdr:pic>
    <xdr:clientData/>
  </xdr:twoCellAnchor>
  <xdr:twoCellAnchor>
    <xdr:from>
      <xdr:col>18</xdr:col>
      <xdr:colOff>587376</xdr:colOff>
      <xdr:row>18</xdr:row>
      <xdr:rowOff>39689</xdr:rowOff>
    </xdr:from>
    <xdr:to>
      <xdr:col>21</xdr:col>
      <xdr:colOff>285750</xdr:colOff>
      <xdr:row>20</xdr:row>
      <xdr:rowOff>150814</xdr:rowOff>
    </xdr:to>
    <xdr:sp macro="" textlink="">
      <xdr:nvSpPr>
        <xdr:cNvPr id="32" name="TextBox 31">
          <a:extLst>
            <a:ext uri="{FF2B5EF4-FFF2-40B4-BE49-F238E27FC236}">
              <a16:creationId xmlns:a16="http://schemas.microsoft.com/office/drawing/2014/main" id="{B29CEF60-A6A8-1CFC-42EC-9C69A3174CF5}"/>
            </a:ext>
          </a:extLst>
        </xdr:cNvPr>
        <xdr:cNvSpPr txBox="1"/>
      </xdr:nvSpPr>
      <xdr:spPr>
        <a:xfrm>
          <a:off x="11588751" y="3325814"/>
          <a:ext cx="153193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Willingness to report</a:t>
          </a:r>
        </a:p>
      </xdr:txBody>
    </xdr:sp>
    <xdr:clientData/>
  </xdr:twoCellAnchor>
  <xdr:twoCellAnchor>
    <xdr:from>
      <xdr:col>2</xdr:col>
      <xdr:colOff>571500</xdr:colOff>
      <xdr:row>2</xdr:row>
      <xdr:rowOff>134938</xdr:rowOff>
    </xdr:from>
    <xdr:to>
      <xdr:col>3</xdr:col>
      <xdr:colOff>531812</xdr:colOff>
      <xdr:row>4</xdr:row>
      <xdr:rowOff>150813</xdr:rowOff>
    </xdr:to>
    <xdr:sp macro="" textlink="">
      <xdr:nvSpPr>
        <xdr:cNvPr id="33" name="Rectangle: Rounded Corners 32">
          <a:extLst>
            <a:ext uri="{FF2B5EF4-FFF2-40B4-BE49-F238E27FC236}">
              <a16:creationId xmlns:a16="http://schemas.microsoft.com/office/drawing/2014/main" id="{21A3898A-C597-1146-E10B-1462F3E67086}"/>
            </a:ext>
          </a:extLst>
        </xdr:cNvPr>
        <xdr:cNvSpPr/>
      </xdr:nvSpPr>
      <xdr:spPr>
        <a:xfrm>
          <a:off x="1793875" y="500063"/>
          <a:ext cx="5715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239713</xdr:colOff>
      <xdr:row>2</xdr:row>
      <xdr:rowOff>128587</xdr:rowOff>
    </xdr:from>
    <xdr:to>
      <xdr:col>8</xdr:col>
      <xdr:colOff>200026</xdr:colOff>
      <xdr:row>4</xdr:row>
      <xdr:rowOff>144462</xdr:rowOff>
    </xdr:to>
    <xdr:sp macro="" textlink="">
      <xdr:nvSpPr>
        <xdr:cNvPr id="34" name="Rectangle: Rounded Corners 33">
          <a:extLst>
            <a:ext uri="{FF2B5EF4-FFF2-40B4-BE49-F238E27FC236}">
              <a16:creationId xmlns:a16="http://schemas.microsoft.com/office/drawing/2014/main" id="{95B63AB3-2184-A904-02CF-8B05D6B2B52A}"/>
            </a:ext>
          </a:extLst>
        </xdr:cNvPr>
        <xdr:cNvSpPr/>
      </xdr:nvSpPr>
      <xdr:spPr>
        <a:xfrm>
          <a:off x="4518026" y="493712"/>
          <a:ext cx="5715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606425</xdr:colOff>
      <xdr:row>2</xdr:row>
      <xdr:rowOff>130175</xdr:rowOff>
    </xdr:from>
    <xdr:to>
      <xdr:col>5</xdr:col>
      <xdr:colOff>566737</xdr:colOff>
      <xdr:row>4</xdr:row>
      <xdr:rowOff>146050</xdr:rowOff>
    </xdr:to>
    <xdr:sp macro="" textlink="">
      <xdr:nvSpPr>
        <xdr:cNvPr id="35" name="Rectangle: Rounded Corners 34">
          <a:extLst>
            <a:ext uri="{FF2B5EF4-FFF2-40B4-BE49-F238E27FC236}">
              <a16:creationId xmlns:a16="http://schemas.microsoft.com/office/drawing/2014/main" id="{BC09F490-F0B5-12E9-825A-C16009F36D84}"/>
            </a:ext>
          </a:extLst>
        </xdr:cNvPr>
        <xdr:cNvSpPr/>
      </xdr:nvSpPr>
      <xdr:spPr>
        <a:xfrm>
          <a:off x="3051175" y="495300"/>
          <a:ext cx="5715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117474</xdr:colOff>
      <xdr:row>1</xdr:row>
      <xdr:rowOff>77787</xdr:rowOff>
    </xdr:from>
    <xdr:to>
      <xdr:col>11</xdr:col>
      <xdr:colOff>547687</xdr:colOff>
      <xdr:row>2</xdr:row>
      <xdr:rowOff>158750</xdr:rowOff>
    </xdr:to>
    <xdr:sp macro="" textlink="">
      <xdr:nvSpPr>
        <xdr:cNvPr id="39" name="Rectangle: Rounded Corners 38">
          <a:extLst>
            <a:ext uri="{FF2B5EF4-FFF2-40B4-BE49-F238E27FC236}">
              <a16:creationId xmlns:a16="http://schemas.microsoft.com/office/drawing/2014/main" id="{2B2CADEF-FE07-D599-ADA9-390034C41ACC}"/>
            </a:ext>
          </a:extLst>
        </xdr:cNvPr>
        <xdr:cNvSpPr/>
      </xdr:nvSpPr>
      <xdr:spPr>
        <a:xfrm>
          <a:off x="6840537" y="260350"/>
          <a:ext cx="430213" cy="263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119062</xdr:colOff>
      <xdr:row>3</xdr:row>
      <xdr:rowOff>55562</xdr:rowOff>
    </xdr:from>
    <xdr:to>
      <xdr:col>11</xdr:col>
      <xdr:colOff>549275</xdr:colOff>
      <xdr:row>4</xdr:row>
      <xdr:rowOff>136525</xdr:rowOff>
    </xdr:to>
    <xdr:sp macro="" textlink="">
      <xdr:nvSpPr>
        <xdr:cNvPr id="41" name="Rectangle: Rounded Corners 40">
          <a:extLst>
            <a:ext uri="{FF2B5EF4-FFF2-40B4-BE49-F238E27FC236}">
              <a16:creationId xmlns:a16="http://schemas.microsoft.com/office/drawing/2014/main" id="{DE765ECD-B11D-E68C-CD82-5159AB1CEE77}"/>
            </a:ext>
          </a:extLst>
        </xdr:cNvPr>
        <xdr:cNvSpPr/>
      </xdr:nvSpPr>
      <xdr:spPr>
        <a:xfrm>
          <a:off x="6842125" y="603250"/>
          <a:ext cx="430213" cy="263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331787</xdr:colOff>
      <xdr:row>2</xdr:row>
      <xdr:rowOff>117475</xdr:rowOff>
    </xdr:from>
    <xdr:to>
      <xdr:col>20</xdr:col>
      <xdr:colOff>96837</xdr:colOff>
      <xdr:row>4</xdr:row>
      <xdr:rowOff>133350</xdr:rowOff>
    </xdr:to>
    <xdr:sp macro="" textlink="">
      <xdr:nvSpPr>
        <xdr:cNvPr id="42" name="Rectangle: Rounded Corners 41">
          <a:extLst>
            <a:ext uri="{FF2B5EF4-FFF2-40B4-BE49-F238E27FC236}">
              <a16:creationId xmlns:a16="http://schemas.microsoft.com/office/drawing/2014/main" id="{FEA27262-D27F-85C1-6389-D19474A4234F}"/>
            </a:ext>
          </a:extLst>
        </xdr:cNvPr>
        <xdr:cNvSpPr/>
      </xdr:nvSpPr>
      <xdr:spPr>
        <a:xfrm>
          <a:off x="11333162" y="482600"/>
          <a:ext cx="987425" cy="381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603250</xdr:colOff>
      <xdr:row>2</xdr:row>
      <xdr:rowOff>134938</xdr:rowOff>
    </xdr:from>
    <xdr:to>
      <xdr:col>3</xdr:col>
      <xdr:colOff>563562</xdr:colOff>
      <xdr:row>4</xdr:row>
      <xdr:rowOff>150813</xdr:rowOff>
    </xdr:to>
    <xdr:sp macro="" textlink="'Pivot Tables'!H11">
      <xdr:nvSpPr>
        <xdr:cNvPr id="43" name="Rectangle: Rounded Corners 42">
          <a:extLst>
            <a:ext uri="{FF2B5EF4-FFF2-40B4-BE49-F238E27FC236}">
              <a16:creationId xmlns:a16="http://schemas.microsoft.com/office/drawing/2014/main" id="{D2ED99A5-809D-D5FD-7924-7B15BCE79D43}"/>
            </a:ext>
          </a:extLst>
        </xdr:cNvPr>
        <xdr:cNvSpPr/>
      </xdr:nvSpPr>
      <xdr:spPr>
        <a:xfrm>
          <a:off x="1825625" y="500063"/>
          <a:ext cx="571500" cy="3810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2FF275-82AB-4605-91F0-18C7CEC62616}" type="TxLink">
            <a:rPr lang="en-US" sz="1600" b="1" i="0" u="none" strike="noStrike">
              <a:solidFill>
                <a:srgbClr val="000000"/>
              </a:solidFill>
              <a:latin typeface="Calibri"/>
              <a:cs typeface="Calibri"/>
            </a:rPr>
            <a:pPr algn="ctr"/>
            <a:t>201</a:t>
          </a:fld>
          <a:endParaRPr lang="en-US" sz="1600" b="1"/>
        </a:p>
      </xdr:txBody>
    </xdr:sp>
    <xdr:clientData/>
  </xdr:twoCellAnchor>
  <xdr:twoCellAnchor>
    <xdr:from>
      <xdr:col>7</xdr:col>
      <xdr:colOff>271463</xdr:colOff>
      <xdr:row>2</xdr:row>
      <xdr:rowOff>128587</xdr:rowOff>
    </xdr:from>
    <xdr:to>
      <xdr:col>8</xdr:col>
      <xdr:colOff>231776</xdr:colOff>
      <xdr:row>4</xdr:row>
      <xdr:rowOff>144462</xdr:rowOff>
    </xdr:to>
    <xdr:sp macro="" textlink="'Pivot Tables'!H15">
      <xdr:nvSpPr>
        <xdr:cNvPr id="44" name="Rectangle: Rounded Corners 43">
          <a:extLst>
            <a:ext uri="{FF2B5EF4-FFF2-40B4-BE49-F238E27FC236}">
              <a16:creationId xmlns:a16="http://schemas.microsoft.com/office/drawing/2014/main" id="{3FBC1ABC-77A3-1258-750A-866B1B8F2D8D}"/>
            </a:ext>
          </a:extLst>
        </xdr:cNvPr>
        <xdr:cNvSpPr/>
      </xdr:nvSpPr>
      <xdr:spPr>
        <a:xfrm>
          <a:off x="4549776" y="493712"/>
          <a:ext cx="571500" cy="3810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CBB94B-A59B-4268-819E-42F2BFEB2F2D}" type="TxLink">
            <a:rPr lang="en-US" sz="1400" b="1" i="0" u="none" strike="noStrike">
              <a:solidFill>
                <a:srgbClr val="000000"/>
              </a:solidFill>
              <a:latin typeface="Calibri"/>
              <a:cs typeface="Calibri"/>
            </a:rPr>
            <a:pPr algn="ctr"/>
            <a:t>100</a:t>
          </a:fld>
          <a:endParaRPr lang="en-US" sz="1400" b="1"/>
        </a:p>
      </xdr:txBody>
    </xdr:sp>
    <xdr:clientData/>
  </xdr:twoCellAnchor>
  <xdr:twoCellAnchor>
    <xdr:from>
      <xdr:col>5</xdr:col>
      <xdr:colOff>26987</xdr:colOff>
      <xdr:row>2</xdr:row>
      <xdr:rowOff>130175</xdr:rowOff>
    </xdr:from>
    <xdr:to>
      <xdr:col>5</xdr:col>
      <xdr:colOff>598487</xdr:colOff>
      <xdr:row>4</xdr:row>
      <xdr:rowOff>146050</xdr:rowOff>
    </xdr:to>
    <xdr:sp macro="" textlink="'Pivot Tables'!H13">
      <xdr:nvSpPr>
        <xdr:cNvPr id="45" name="Rectangle: Rounded Corners 44">
          <a:extLst>
            <a:ext uri="{FF2B5EF4-FFF2-40B4-BE49-F238E27FC236}">
              <a16:creationId xmlns:a16="http://schemas.microsoft.com/office/drawing/2014/main" id="{70D83DE9-3EDE-2F6A-3D8F-8074ED1899A7}"/>
            </a:ext>
          </a:extLst>
        </xdr:cNvPr>
        <xdr:cNvSpPr/>
      </xdr:nvSpPr>
      <xdr:spPr>
        <a:xfrm>
          <a:off x="3082925" y="495300"/>
          <a:ext cx="571500" cy="3810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40A190-BFFA-4A82-BA3E-C2D1C69A5F99}" type="TxLink">
            <a:rPr lang="en-US" sz="1400" b="1" i="0" u="none" strike="noStrike">
              <a:solidFill>
                <a:srgbClr val="000000"/>
              </a:solidFill>
              <a:latin typeface="Calibri"/>
              <a:cs typeface="Calibri"/>
            </a:rPr>
            <a:pPr algn="ctr"/>
            <a:t>97</a:t>
          </a:fld>
          <a:endParaRPr lang="en-US" sz="1400" b="1"/>
        </a:p>
      </xdr:txBody>
    </xdr:sp>
    <xdr:clientData/>
  </xdr:twoCellAnchor>
  <xdr:twoCellAnchor>
    <xdr:from>
      <xdr:col>16</xdr:col>
      <xdr:colOff>63501</xdr:colOff>
      <xdr:row>2</xdr:row>
      <xdr:rowOff>79375</xdr:rowOff>
    </xdr:from>
    <xdr:to>
      <xdr:col>17</xdr:col>
      <xdr:colOff>523875</xdr:colOff>
      <xdr:row>4</xdr:row>
      <xdr:rowOff>125411</xdr:rowOff>
    </xdr:to>
    <xdr:sp macro="" textlink="">
      <xdr:nvSpPr>
        <xdr:cNvPr id="47" name="Rectangle: Rounded Corners 46">
          <a:extLst>
            <a:ext uri="{FF2B5EF4-FFF2-40B4-BE49-F238E27FC236}">
              <a16:creationId xmlns:a16="http://schemas.microsoft.com/office/drawing/2014/main" id="{BE76E10C-2D18-9DE0-5E1B-6E116D62AD35}"/>
            </a:ext>
          </a:extLst>
        </xdr:cNvPr>
        <xdr:cNvSpPr/>
      </xdr:nvSpPr>
      <xdr:spPr>
        <a:xfrm>
          <a:off x="9842501" y="444500"/>
          <a:ext cx="1071562" cy="411161"/>
        </a:xfrm>
        <a:prstGeom prst="roundRect">
          <a:avLst>
            <a:gd name="adj" fmla="val 0"/>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Whatsapp</a:t>
          </a:r>
        </a:p>
      </xdr:txBody>
    </xdr:sp>
    <xdr:clientData/>
  </xdr:twoCellAnchor>
  <xdr:twoCellAnchor>
    <xdr:from>
      <xdr:col>11</xdr:col>
      <xdr:colOff>149224</xdr:colOff>
      <xdr:row>1</xdr:row>
      <xdr:rowOff>77787</xdr:rowOff>
    </xdr:from>
    <xdr:to>
      <xdr:col>12</xdr:col>
      <xdr:colOff>174625</xdr:colOff>
      <xdr:row>2</xdr:row>
      <xdr:rowOff>142874</xdr:rowOff>
    </xdr:to>
    <xdr:sp macro="" textlink="'Pivot Tables'!H17">
      <xdr:nvSpPr>
        <xdr:cNvPr id="48" name="Rectangle: Rounded Corners 47">
          <a:extLst>
            <a:ext uri="{FF2B5EF4-FFF2-40B4-BE49-F238E27FC236}">
              <a16:creationId xmlns:a16="http://schemas.microsoft.com/office/drawing/2014/main" id="{5A7428AA-AE88-CE05-521A-98775BAC2E8E}"/>
            </a:ext>
          </a:extLst>
        </xdr:cNvPr>
        <xdr:cNvSpPr/>
      </xdr:nvSpPr>
      <xdr:spPr>
        <a:xfrm>
          <a:off x="6872287" y="260350"/>
          <a:ext cx="636588" cy="247649"/>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2CDD4C-9925-4B86-A1FA-EA7DC24C37A5}" type="TxLink">
            <a:rPr lang="en-US" sz="1100" b="0" i="0" u="none" strike="noStrike">
              <a:solidFill>
                <a:srgbClr val="000000"/>
              </a:solidFill>
              <a:latin typeface="Calibri"/>
              <a:cs typeface="Calibri"/>
            </a:rPr>
            <a:pPr algn="ctr"/>
            <a:t>48.26%</a:t>
          </a:fld>
          <a:endParaRPr lang="en-US" sz="1100"/>
        </a:p>
      </xdr:txBody>
    </xdr:sp>
    <xdr:clientData/>
  </xdr:twoCellAnchor>
  <xdr:twoCellAnchor>
    <xdr:from>
      <xdr:col>11</xdr:col>
      <xdr:colOff>150812</xdr:colOff>
      <xdr:row>3</xdr:row>
      <xdr:rowOff>55562</xdr:rowOff>
    </xdr:from>
    <xdr:to>
      <xdr:col>12</xdr:col>
      <xdr:colOff>182563</xdr:colOff>
      <xdr:row>4</xdr:row>
      <xdr:rowOff>119063</xdr:rowOff>
    </xdr:to>
    <xdr:sp macro="" textlink="'Pivot Tables'!H19">
      <xdr:nvSpPr>
        <xdr:cNvPr id="49" name="Rectangle: Rounded Corners 48">
          <a:extLst>
            <a:ext uri="{FF2B5EF4-FFF2-40B4-BE49-F238E27FC236}">
              <a16:creationId xmlns:a16="http://schemas.microsoft.com/office/drawing/2014/main" id="{9774F009-7884-77FB-56DC-25DB1A7B13E3}"/>
            </a:ext>
          </a:extLst>
        </xdr:cNvPr>
        <xdr:cNvSpPr/>
      </xdr:nvSpPr>
      <xdr:spPr>
        <a:xfrm>
          <a:off x="6873875" y="603250"/>
          <a:ext cx="642938" cy="246063"/>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06A6F0-6D5D-461C-ACD9-F6DEB598764F}" type="TxLink">
            <a:rPr lang="en-US" sz="1100" b="0" i="0" u="none" strike="noStrike">
              <a:solidFill>
                <a:srgbClr val="000000"/>
              </a:solidFill>
              <a:latin typeface="Calibri"/>
              <a:cs typeface="Calibri"/>
            </a:rPr>
            <a:pPr algn="ctr"/>
            <a:t>51.74%</a:t>
          </a:fld>
          <a:endParaRPr lang="en-US" sz="1100"/>
        </a:p>
      </xdr:txBody>
    </xdr:sp>
    <xdr:clientData/>
  </xdr:twoCellAnchor>
  <xdr:twoCellAnchor>
    <xdr:from>
      <xdr:col>18</xdr:col>
      <xdr:colOff>285750</xdr:colOff>
      <xdr:row>2</xdr:row>
      <xdr:rowOff>111124</xdr:rowOff>
    </xdr:from>
    <xdr:to>
      <xdr:col>20</xdr:col>
      <xdr:colOff>365125</xdr:colOff>
      <xdr:row>4</xdr:row>
      <xdr:rowOff>126999</xdr:rowOff>
    </xdr:to>
    <xdr:sp macro="" textlink="">
      <xdr:nvSpPr>
        <xdr:cNvPr id="50" name="Rectangle: Rounded Corners 49">
          <a:extLst>
            <a:ext uri="{FF2B5EF4-FFF2-40B4-BE49-F238E27FC236}">
              <a16:creationId xmlns:a16="http://schemas.microsoft.com/office/drawing/2014/main" id="{8D2597B7-BA4A-7166-4B2D-74CDF480088C}"/>
            </a:ext>
          </a:extLst>
        </xdr:cNvPr>
        <xdr:cNvSpPr/>
      </xdr:nvSpPr>
      <xdr:spPr>
        <a:xfrm>
          <a:off x="11287125" y="476249"/>
          <a:ext cx="1301750" cy="3810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School</a:t>
          </a:r>
          <a:r>
            <a:rPr lang="en-US" sz="1100" b="1" baseline="0">
              <a:solidFill>
                <a:sysClr val="windowText" lastClr="000000"/>
              </a:solidFill>
            </a:rPr>
            <a:t> Authorities   </a:t>
          </a:r>
          <a:endParaRPr lang="en-US" sz="1100" b="1">
            <a:solidFill>
              <a:sysClr val="windowText" lastClr="000000"/>
            </a:solidFill>
          </a:endParaRPr>
        </a:p>
      </xdr:txBody>
    </xdr:sp>
    <xdr:clientData/>
  </xdr:twoCellAnchor>
  <xdr:twoCellAnchor>
    <xdr:from>
      <xdr:col>2</xdr:col>
      <xdr:colOff>142875</xdr:colOff>
      <xdr:row>15</xdr:row>
      <xdr:rowOff>119063</xdr:rowOff>
    </xdr:from>
    <xdr:to>
      <xdr:col>8</xdr:col>
      <xdr:colOff>396875</xdr:colOff>
      <xdr:row>29</xdr:row>
      <xdr:rowOff>158750</xdr:rowOff>
    </xdr:to>
    <xdr:graphicFrame macro="">
      <xdr:nvGraphicFramePr>
        <xdr:cNvPr id="52" name="Chart 51">
          <a:extLst>
            <a:ext uri="{FF2B5EF4-FFF2-40B4-BE49-F238E27FC236}">
              <a16:creationId xmlns:a16="http://schemas.microsoft.com/office/drawing/2014/main" id="{C79771A5-E544-4470-A325-696E3EA33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468313</xdr:colOff>
      <xdr:row>5</xdr:row>
      <xdr:rowOff>89507</xdr:rowOff>
    </xdr:from>
    <xdr:to>
      <xdr:col>15</xdr:col>
      <xdr:colOff>222250</xdr:colOff>
      <xdr:row>15</xdr:row>
      <xdr:rowOff>87311</xdr:rowOff>
    </xdr:to>
    <xdr:graphicFrame macro="">
      <xdr:nvGraphicFramePr>
        <xdr:cNvPr id="53" name="Chart 52">
          <a:extLst>
            <a:ext uri="{FF2B5EF4-FFF2-40B4-BE49-F238E27FC236}">
              <a16:creationId xmlns:a16="http://schemas.microsoft.com/office/drawing/2014/main" id="{B306698E-8EB1-4544-9A10-12990E0A3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444500</xdr:colOff>
      <xdr:row>15</xdr:row>
      <xdr:rowOff>129195</xdr:rowOff>
    </xdr:from>
    <xdr:to>
      <xdr:col>15</xdr:col>
      <xdr:colOff>214312</xdr:colOff>
      <xdr:row>29</xdr:row>
      <xdr:rowOff>150812</xdr:rowOff>
    </xdr:to>
    <xdr:graphicFrame macro="">
      <xdr:nvGraphicFramePr>
        <xdr:cNvPr id="54" name="Chart 53">
          <a:extLst>
            <a:ext uri="{FF2B5EF4-FFF2-40B4-BE49-F238E27FC236}">
              <a16:creationId xmlns:a16="http://schemas.microsoft.com/office/drawing/2014/main" id="{DD0AA60D-A98F-4905-8CC5-DEF2AC21D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126999</xdr:colOff>
      <xdr:row>34</xdr:row>
      <xdr:rowOff>43035</xdr:rowOff>
    </xdr:from>
    <xdr:to>
      <xdr:col>22</xdr:col>
      <xdr:colOff>428625</xdr:colOff>
      <xdr:row>37</xdr:row>
      <xdr:rowOff>142875</xdr:rowOff>
    </xdr:to>
    <mc:AlternateContent xmlns:mc="http://schemas.openxmlformats.org/markup-compatibility/2006" xmlns:a14="http://schemas.microsoft.com/office/drawing/2010/main">
      <mc:Choice Requires="a14">
        <xdr:graphicFrame macro="">
          <xdr:nvGraphicFramePr>
            <xdr:cNvPr id="56" name="Awareness_Of_Reporting_Channels 2">
              <a:extLst>
                <a:ext uri="{FF2B5EF4-FFF2-40B4-BE49-F238E27FC236}">
                  <a16:creationId xmlns:a16="http://schemas.microsoft.com/office/drawing/2014/main" id="{408E1CE4-884E-4180-9F58-0D42F64914D8}"/>
                </a:ext>
              </a:extLst>
            </xdr:cNvPr>
            <xdr:cNvGraphicFramePr/>
          </xdr:nvGraphicFramePr>
          <xdr:xfrm>
            <a:off x="0" y="0"/>
            <a:ext cx="0" cy="0"/>
          </xdr:xfrm>
          <a:graphic>
            <a:graphicData uri="http://schemas.microsoft.com/office/drawing/2010/slicer">
              <sle:slicer xmlns:sle="http://schemas.microsoft.com/office/drawing/2010/slicer" name="Awareness_Of_Reporting_Channels 2"/>
            </a:graphicData>
          </a:graphic>
        </xdr:graphicFrame>
      </mc:Choice>
      <mc:Fallback xmlns="">
        <xdr:sp macro="" textlink="">
          <xdr:nvSpPr>
            <xdr:cNvPr id="0" name=""/>
            <xdr:cNvSpPr>
              <a:spLocks noTextEdit="1"/>
            </xdr:cNvSpPr>
          </xdr:nvSpPr>
          <xdr:spPr>
            <a:xfrm>
              <a:off x="8072437" y="6250160"/>
              <a:ext cx="5802313" cy="647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87313</xdr:colOff>
      <xdr:row>30</xdr:row>
      <xdr:rowOff>139296</xdr:rowOff>
    </xdr:from>
    <xdr:to>
      <xdr:col>12</xdr:col>
      <xdr:colOff>230188</xdr:colOff>
      <xdr:row>34</xdr:row>
      <xdr:rowOff>47626</xdr:rowOff>
    </xdr:to>
    <mc:AlternateContent xmlns:mc="http://schemas.openxmlformats.org/markup-compatibility/2006" xmlns:a14="http://schemas.microsoft.com/office/drawing/2010/main">
      <mc:Choice Requires="a14">
        <xdr:graphicFrame macro="">
          <xdr:nvGraphicFramePr>
            <xdr:cNvPr id="57" name="  Level_Of_Awareness 1">
              <a:extLst>
                <a:ext uri="{FF2B5EF4-FFF2-40B4-BE49-F238E27FC236}">
                  <a16:creationId xmlns:a16="http://schemas.microsoft.com/office/drawing/2014/main" id="{9B99C3A9-1A9B-4497-8F74-115D6D04AB27}"/>
                </a:ext>
              </a:extLst>
            </xdr:cNvPr>
            <xdr:cNvGraphicFramePr/>
          </xdr:nvGraphicFramePr>
          <xdr:xfrm>
            <a:off x="0" y="0"/>
            <a:ext cx="0" cy="0"/>
          </xdr:xfrm>
          <a:graphic>
            <a:graphicData uri="http://schemas.microsoft.com/office/drawing/2010/slicer">
              <sle:slicer xmlns:sle="http://schemas.microsoft.com/office/drawing/2010/slicer" name="  Level_Of_Awareness 1"/>
            </a:graphicData>
          </a:graphic>
        </xdr:graphicFrame>
      </mc:Choice>
      <mc:Fallback xmlns="">
        <xdr:sp macro="" textlink="">
          <xdr:nvSpPr>
            <xdr:cNvPr id="0" name=""/>
            <xdr:cNvSpPr>
              <a:spLocks noTextEdit="1"/>
            </xdr:cNvSpPr>
          </xdr:nvSpPr>
          <xdr:spPr>
            <a:xfrm>
              <a:off x="1309688" y="5616171"/>
              <a:ext cx="6254750" cy="638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106628</xdr:colOff>
      <xdr:row>34</xdr:row>
      <xdr:rowOff>79375</xdr:rowOff>
    </xdr:from>
    <xdr:to>
      <xdr:col>6</xdr:col>
      <xdr:colOff>500062</xdr:colOff>
      <xdr:row>37</xdr:row>
      <xdr:rowOff>150813</xdr:rowOff>
    </xdr:to>
    <mc:AlternateContent xmlns:mc="http://schemas.openxmlformats.org/markup-compatibility/2006" xmlns:a14="http://schemas.microsoft.com/office/drawing/2010/main">
      <mc:Choice Requires="a14">
        <xdr:graphicFrame macro="">
          <xdr:nvGraphicFramePr>
            <xdr:cNvPr id="58" name="Reporting_Channel_Willingness 1">
              <a:extLst>
                <a:ext uri="{FF2B5EF4-FFF2-40B4-BE49-F238E27FC236}">
                  <a16:creationId xmlns:a16="http://schemas.microsoft.com/office/drawing/2014/main" id="{C8A5A574-23AA-4E58-B590-25574C84F670}"/>
                </a:ext>
              </a:extLst>
            </xdr:cNvPr>
            <xdr:cNvGraphicFramePr/>
          </xdr:nvGraphicFramePr>
          <xdr:xfrm>
            <a:off x="0" y="0"/>
            <a:ext cx="0" cy="0"/>
          </xdr:xfrm>
          <a:graphic>
            <a:graphicData uri="http://schemas.microsoft.com/office/drawing/2010/slicer">
              <sle:slicer xmlns:sle="http://schemas.microsoft.com/office/drawing/2010/slicer" name="Reporting_Channel_Willingness 1"/>
            </a:graphicData>
          </a:graphic>
        </xdr:graphicFrame>
      </mc:Choice>
      <mc:Fallback xmlns="">
        <xdr:sp macro="" textlink="">
          <xdr:nvSpPr>
            <xdr:cNvPr id="0" name=""/>
            <xdr:cNvSpPr>
              <a:spLocks noTextEdit="1"/>
            </xdr:cNvSpPr>
          </xdr:nvSpPr>
          <xdr:spPr>
            <a:xfrm>
              <a:off x="1329003" y="6286500"/>
              <a:ext cx="2838184" cy="61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587375</xdr:colOff>
      <xdr:row>30</xdr:row>
      <xdr:rowOff>167700</xdr:rowOff>
    </xdr:from>
    <xdr:to>
      <xdr:col>22</xdr:col>
      <xdr:colOff>555625</xdr:colOff>
      <xdr:row>34</xdr:row>
      <xdr:rowOff>48808</xdr:rowOff>
    </xdr:to>
    <mc:AlternateContent xmlns:mc="http://schemas.openxmlformats.org/markup-compatibility/2006" xmlns:a14="http://schemas.microsoft.com/office/drawing/2010/main">
      <mc:Choice Requires="a14">
        <xdr:graphicFrame macro="">
          <xdr:nvGraphicFramePr>
            <xdr:cNvPr id="59" name="Can_official_Channel_Encourage_Students? 1">
              <a:extLst>
                <a:ext uri="{FF2B5EF4-FFF2-40B4-BE49-F238E27FC236}">
                  <a16:creationId xmlns:a16="http://schemas.microsoft.com/office/drawing/2014/main" id="{E4CFEF4C-24BA-4819-BAAC-F65387006FB0}"/>
                </a:ext>
              </a:extLst>
            </xdr:cNvPr>
            <xdr:cNvGraphicFramePr/>
          </xdr:nvGraphicFramePr>
          <xdr:xfrm>
            <a:off x="0" y="0"/>
            <a:ext cx="0" cy="0"/>
          </xdr:xfrm>
          <a:graphic>
            <a:graphicData uri="http://schemas.microsoft.com/office/drawing/2010/slicer">
              <sle:slicer xmlns:sle="http://schemas.microsoft.com/office/drawing/2010/slicer" name="Can_official_Channel_Encourage_Students? 1"/>
            </a:graphicData>
          </a:graphic>
        </xdr:graphicFrame>
      </mc:Choice>
      <mc:Fallback xmlns="">
        <xdr:sp macro="" textlink="">
          <xdr:nvSpPr>
            <xdr:cNvPr id="0" name=""/>
            <xdr:cNvSpPr>
              <a:spLocks noTextEdit="1"/>
            </xdr:cNvSpPr>
          </xdr:nvSpPr>
          <xdr:spPr>
            <a:xfrm>
              <a:off x="10977563" y="5644575"/>
              <a:ext cx="3024187" cy="611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79375</xdr:colOff>
      <xdr:row>30</xdr:row>
      <xdr:rowOff>153536</xdr:rowOff>
    </xdr:from>
    <xdr:to>
      <xdr:col>17</xdr:col>
      <xdr:colOff>578349</xdr:colOff>
      <xdr:row>34</xdr:row>
      <xdr:rowOff>49430</xdr:rowOff>
    </xdr:to>
    <mc:AlternateContent xmlns:mc="http://schemas.openxmlformats.org/markup-compatibility/2006" xmlns:a14="http://schemas.microsoft.com/office/drawing/2010/main">
      <mc:Choice Requires="a14">
        <xdr:graphicFrame macro="">
          <xdr:nvGraphicFramePr>
            <xdr:cNvPr id="60" name="Anonymity_Influence 1">
              <a:extLst>
                <a:ext uri="{FF2B5EF4-FFF2-40B4-BE49-F238E27FC236}">
                  <a16:creationId xmlns:a16="http://schemas.microsoft.com/office/drawing/2014/main" id="{8C18A705-EBB0-431C-B7C7-886101C86C75}"/>
                </a:ext>
              </a:extLst>
            </xdr:cNvPr>
            <xdr:cNvGraphicFramePr/>
          </xdr:nvGraphicFramePr>
          <xdr:xfrm>
            <a:off x="0" y="0"/>
            <a:ext cx="0" cy="0"/>
          </xdr:xfrm>
          <a:graphic>
            <a:graphicData uri="http://schemas.microsoft.com/office/drawing/2010/slicer">
              <sle:slicer xmlns:sle="http://schemas.microsoft.com/office/drawing/2010/slicer" name="Anonymity_Influence 1"/>
            </a:graphicData>
          </a:graphic>
        </xdr:graphicFrame>
      </mc:Choice>
      <mc:Fallback xmlns="">
        <xdr:sp macro="" textlink="">
          <xdr:nvSpPr>
            <xdr:cNvPr id="0" name=""/>
            <xdr:cNvSpPr>
              <a:spLocks noTextEdit="1"/>
            </xdr:cNvSpPr>
          </xdr:nvSpPr>
          <xdr:spPr>
            <a:xfrm>
              <a:off x="8024813" y="5630411"/>
              <a:ext cx="2943724" cy="62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498740</xdr:colOff>
      <xdr:row>34</xdr:row>
      <xdr:rowOff>71437</xdr:rowOff>
    </xdr:from>
    <xdr:to>
      <xdr:col>12</xdr:col>
      <xdr:colOff>222249</xdr:colOff>
      <xdr:row>37</xdr:row>
      <xdr:rowOff>174624</xdr:rowOff>
    </xdr:to>
    <mc:AlternateContent xmlns:mc="http://schemas.openxmlformats.org/markup-compatibility/2006" xmlns:a14="http://schemas.microsoft.com/office/drawing/2010/main">
      <mc:Choice Requires="a14">
        <xdr:graphicFrame macro="">
          <xdr:nvGraphicFramePr>
            <xdr:cNvPr id="62" name="Exposure to sexual awareness 1">
              <a:extLst>
                <a:ext uri="{FF2B5EF4-FFF2-40B4-BE49-F238E27FC236}">
                  <a16:creationId xmlns:a16="http://schemas.microsoft.com/office/drawing/2014/main" id="{8149575E-3AA8-493C-B476-B93F50B8F86A}"/>
                </a:ext>
              </a:extLst>
            </xdr:cNvPr>
            <xdr:cNvGraphicFramePr/>
          </xdr:nvGraphicFramePr>
          <xdr:xfrm>
            <a:off x="0" y="0"/>
            <a:ext cx="0" cy="0"/>
          </xdr:xfrm>
          <a:graphic>
            <a:graphicData uri="http://schemas.microsoft.com/office/drawing/2010/slicer">
              <sle:slicer xmlns:sle="http://schemas.microsoft.com/office/drawing/2010/slicer" name="Exposure to sexual awareness 1"/>
            </a:graphicData>
          </a:graphic>
        </xdr:graphicFrame>
      </mc:Choice>
      <mc:Fallback xmlns="">
        <xdr:sp macro="" textlink="">
          <xdr:nvSpPr>
            <xdr:cNvPr id="0" name=""/>
            <xdr:cNvSpPr>
              <a:spLocks noTextEdit="1"/>
            </xdr:cNvSpPr>
          </xdr:nvSpPr>
          <xdr:spPr>
            <a:xfrm>
              <a:off x="4165865" y="6278562"/>
              <a:ext cx="3390634" cy="650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357188</xdr:colOff>
      <xdr:row>20</xdr:row>
      <xdr:rowOff>79376</xdr:rowOff>
    </xdr:from>
    <xdr:to>
      <xdr:col>22</xdr:col>
      <xdr:colOff>428626</xdr:colOff>
      <xdr:row>29</xdr:row>
      <xdr:rowOff>55563</xdr:rowOff>
    </xdr:to>
    <xdr:graphicFrame macro="">
      <xdr:nvGraphicFramePr>
        <xdr:cNvPr id="6" name="Chart 5">
          <a:extLst>
            <a:ext uri="{FF2B5EF4-FFF2-40B4-BE49-F238E27FC236}">
              <a16:creationId xmlns:a16="http://schemas.microsoft.com/office/drawing/2014/main" id="{FA794A93-604A-4C68-A8EE-EE6BCAE3C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127000</xdr:colOff>
      <xdr:row>5</xdr:row>
      <xdr:rowOff>71438</xdr:rowOff>
    </xdr:from>
    <xdr:to>
      <xdr:col>8</xdr:col>
      <xdr:colOff>396875</xdr:colOff>
      <xdr:row>15</xdr:row>
      <xdr:rowOff>71437</xdr:rowOff>
    </xdr:to>
    <xdr:graphicFrame macro="">
      <xdr:nvGraphicFramePr>
        <xdr:cNvPr id="7" name="Chart 6">
          <a:extLst>
            <a:ext uri="{FF2B5EF4-FFF2-40B4-BE49-F238E27FC236}">
              <a16:creationId xmlns:a16="http://schemas.microsoft.com/office/drawing/2014/main" id="{BE2DF694-06A5-4A07-9557-2F18C42AC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0.35013</cdr:y>
    </cdr:from>
    <cdr:to>
      <cdr:x>0.19746</cdr:x>
      <cdr:y>0.67254</cdr:y>
    </cdr:to>
    <cdr:sp macro="" textlink="">
      <cdr:nvSpPr>
        <cdr:cNvPr id="2" name="TextBox 1">
          <a:extLst xmlns:a="http://schemas.openxmlformats.org/drawingml/2006/main">
            <a:ext uri="{FF2B5EF4-FFF2-40B4-BE49-F238E27FC236}">
              <a16:creationId xmlns:a16="http://schemas.microsoft.com/office/drawing/2014/main" id="{EE851864-DBA5-92DC-EB21-1BC9ECC2E911}"/>
            </a:ext>
          </a:extLst>
        </cdr:cNvPr>
        <cdr:cNvSpPr txBox="1"/>
      </cdr:nvSpPr>
      <cdr:spPr>
        <a:xfrm xmlns:a="http://schemas.openxmlformats.org/drawingml/2006/main">
          <a:off x="0" y="1103315"/>
          <a:ext cx="865188" cy="10159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Exposure to</a:t>
          </a:r>
          <a:r>
            <a:rPr lang="en-US" sz="1200" b="1" kern="1200" baseline="0"/>
            <a:t> sexual awareness category </a:t>
          </a:r>
          <a:endParaRPr lang="en-US" sz="1200" b="1" kern="12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8</xdr:col>
      <xdr:colOff>444500</xdr:colOff>
      <xdr:row>2</xdr:row>
      <xdr:rowOff>57150</xdr:rowOff>
    </xdr:from>
    <xdr:to>
      <xdr:col>9</xdr:col>
      <xdr:colOff>146049</xdr:colOff>
      <xdr:row>4</xdr:row>
      <xdr:rowOff>0</xdr:rowOff>
    </xdr:to>
    <xdr:pic>
      <xdr:nvPicPr>
        <xdr:cNvPr id="35" name="Graphic 34" descr="Female Profile">
          <a:extLst>
            <a:ext uri="{FF2B5EF4-FFF2-40B4-BE49-F238E27FC236}">
              <a16:creationId xmlns:a16="http://schemas.microsoft.com/office/drawing/2014/main" id="{52C51524-8EFD-032C-A079-2021C1BDE5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11700" y="425450"/>
          <a:ext cx="311150" cy="311150"/>
        </a:xfrm>
        <a:prstGeom prst="rect">
          <a:avLst/>
        </a:prstGeom>
      </xdr:spPr>
    </xdr:pic>
    <xdr:clientData/>
  </xdr:twoCellAnchor>
  <xdr:twoCellAnchor>
    <xdr:from>
      <xdr:col>3</xdr:col>
      <xdr:colOff>547335</xdr:colOff>
      <xdr:row>0</xdr:row>
      <xdr:rowOff>110876</xdr:rowOff>
    </xdr:from>
    <xdr:to>
      <xdr:col>20</xdr:col>
      <xdr:colOff>429949</xdr:colOff>
      <xdr:row>25</xdr:row>
      <xdr:rowOff>36601</xdr:rowOff>
    </xdr:to>
    <xdr:sp macro="" textlink="">
      <xdr:nvSpPr>
        <xdr:cNvPr id="3" name="Rectangle 2">
          <a:extLst>
            <a:ext uri="{FF2B5EF4-FFF2-40B4-BE49-F238E27FC236}">
              <a16:creationId xmlns:a16="http://schemas.microsoft.com/office/drawing/2014/main" id="{4DA9B1D7-FFEF-EC85-EBC8-2BABDE0B86AE}"/>
            </a:ext>
          </a:extLst>
        </xdr:cNvPr>
        <xdr:cNvSpPr/>
      </xdr:nvSpPr>
      <xdr:spPr>
        <a:xfrm>
          <a:off x="2372960" y="110876"/>
          <a:ext cx="10227822" cy="4555933"/>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c   </a:t>
          </a:r>
        </a:p>
      </xdr:txBody>
    </xdr:sp>
    <xdr:clientData/>
  </xdr:twoCellAnchor>
  <xdr:twoCellAnchor>
    <xdr:from>
      <xdr:col>6</xdr:col>
      <xdr:colOff>208898</xdr:colOff>
      <xdr:row>0</xdr:row>
      <xdr:rowOff>177800</xdr:rowOff>
    </xdr:from>
    <xdr:to>
      <xdr:col>8</xdr:col>
      <xdr:colOff>374273</xdr:colOff>
      <xdr:row>4</xdr:row>
      <xdr:rowOff>12700</xdr:rowOff>
    </xdr:to>
    <xdr:grpSp>
      <xdr:nvGrpSpPr>
        <xdr:cNvPr id="31" name="Group 30">
          <a:extLst>
            <a:ext uri="{FF2B5EF4-FFF2-40B4-BE49-F238E27FC236}">
              <a16:creationId xmlns:a16="http://schemas.microsoft.com/office/drawing/2014/main" id="{3176603C-75B7-E699-1E43-0572942DEEFF}"/>
            </a:ext>
          </a:extLst>
        </xdr:cNvPr>
        <xdr:cNvGrpSpPr/>
      </xdr:nvGrpSpPr>
      <xdr:grpSpPr>
        <a:xfrm>
          <a:off x="3884427" y="177800"/>
          <a:ext cx="1390552" cy="581959"/>
          <a:chOff x="3417517" y="-9878"/>
          <a:chExt cx="1638300" cy="635000"/>
        </a:xfrm>
        <a:effectLst>
          <a:outerShdw blurRad="50800" dist="38100" dir="2700000" algn="tl" rotWithShape="0">
            <a:prstClr val="black">
              <a:alpha val="40000"/>
            </a:prstClr>
          </a:outerShdw>
        </a:effectLst>
      </xdr:grpSpPr>
      <xdr:grpSp>
        <xdr:nvGrpSpPr>
          <xdr:cNvPr id="24" name="Group 23">
            <a:extLst>
              <a:ext uri="{FF2B5EF4-FFF2-40B4-BE49-F238E27FC236}">
                <a16:creationId xmlns:a16="http://schemas.microsoft.com/office/drawing/2014/main" id="{A7FED186-2EC8-3892-7D11-8D9743A7A0F6}"/>
              </a:ext>
            </a:extLst>
          </xdr:cNvPr>
          <xdr:cNvGrpSpPr/>
        </xdr:nvGrpSpPr>
        <xdr:grpSpPr>
          <a:xfrm>
            <a:off x="3430218" y="-9878"/>
            <a:ext cx="1625599" cy="635000"/>
            <a:chOff x="3500068" y="2822"/>
            <a:chExt cx="1625599" cy="635000"/>
          </a:xfrm>
        </xdr:grpSpPr>
        <xdr:sp macro="" textlink="'Pivot Tables'!$H$13">
          <xdr:nvSpPr>
            <xdr:cNvPr id="23" name="Rectangle 22">
              <a:extLst>
                <a:ext uri="{FF2B5EF4-FFF2-40B4-BE49-F238E27FC236}">
                  <a16:creationId xmlns:a16="http://schemas.microsoft.com/office/drawing/2014/main" id="{EF62E084-D316-FFAF-4BE1-7A8A9812C991}"/>
                </a:ext>
              </a:extLst>
            </xdr:cNvPr>
            <xdr:cNvSpPr/>
          </xdr:nvSpPr>
          <xdr:spPr>
            <a:xfrm>
              <a:off x="3500068" y="2822"/>
              <a:ext cx="1625599" cy="635000"/>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BE57AD-DF54-407E-B4E6-6D227752B207}" type="TxLink">
                <a:rPr lang="en-US" sz="1800" b="0" i="0" u="none" strike="noStrike">
                  <a:solidFill>
                    <a:srgbClr val="000000"/>
                  </a:solidFill>
                  <a:latin typeface="Bernard MT Condensed" panose="02050806060905020404" pitchFamily="18" charset="0"/>
                  <a:ea typeface="Roboto" panose="02000000000000000000" pitchFamily="2" charset="0"/>
                  <a:cs typeface="Roboto" panose="02000000000000000000" pitchFamily="2" charset="0"/>
                </a:rPr>
                <a:pPr algn="ctr"/>
                <a:t>97</a:t>
              </a:fld>
              <a:endParaRPr lang="en-US" sz="1800">
                <a:latin typeface="Bernard MT Condensed" panose="02050806060905020404" pitchFamily="18" charset="0"/>
                <a:ea typeface="Roboto" panose="02000000000000000000" pitchFamily="2" charset="0"/>
                <a:cs typeface="Roboto" panose="02000000000000000000" pitchFamily="2" charset="0"/>
              </a:endParaRPr>
            </a:p>
          </xdr:txBody>
        </xdr:sp>
        <xdr:sp macro="" textlink="">
          <xdr:nvSpPr>
            <xdr:cNvPr id="14" name="TextBox 13">
              <a:extLst>
                <a:ext uri="{FF2B5EF4-FFF2-40B4-BE49-F238E27FC236}">
                  <a16:creationId xmlns:a16="http://schemas.microsoft.com/office/drawing/2014/main" id="{D8AEC95C-912D-2436-7D06-CD206BCE79B3}"/>
                </a:ext>
              </a:extLst>
            </xdr:cNvPr>
            <xdr:cNvSpPr txBox="1"/>
          </xdr:nvSpPr>
          <xdr:spPr>
            <a:xfrm>
              <a:off x="3512768" y="9172"/>
              <a:ext cx="1606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Roboto" panose="02000000000000000000" pitchFamily="2" charset="0"/>
                  <a:ea typeface="Roboto" panose="02000000000000000000" pitchFamily="2" charset="0"/>
                  <a:cs typeface="Roboto" panose="02000000000000000000" pitchFamily="2" charset="0"/>
                </a:rPr>
                <a:t>Male</a:t>
              </a:r>
              <a:r>
                <a:rPr lang="en-US" sz="1100" b="1" baseline="0">
                  <a:latin typeface="Roboto" panose="02000000000000000000" pitchFamily="2" charset="0"/>
                  <a:ea typeface="Roboto" panose="02000000000000000000" pitchFamily="2" charset="0"/>
                  <a:cs typeface="Roboto" panose="02000000000000000000" pitchFamily="2" charset="0"/>
                </a:rPr>
                <a:t> Respondents</a:t>
              </a:r>
              <a:endParaRPr lang="en-US" sz="1100" b="1">
                <a:latin typeface="Roboto" panose="02000000000000000000" pitchFamily="2" charset="0"/>
                <a:ea typeface="Roboto" panose="02000000000000000000" pitchFamily="2" charset="0"/>
                <a:cs typeface="Roboto" panose="02000000000000000000" pitchFamily="2" charset="0"/>
              </a:endParaRPr>
            </a:p>
          </xdr:txBody>
        </xdr:sp>
      </xdr:grpSp>
      <xdr:pic>
        <xdr:nvPicPr>
          <xdr:cNvPr id="28" name="Graphic 27" descr="Male profile">
            <a:extLst>
              <a:ext uri="{FF2B5EF4-FFF2-40B4-BE49-F238E27FC236}">
                <a16:creationId xmlns:a16="http://schemas.microsoft.com/office/drawing/2014/main" id="{A8B2BB63-C946-8028-785D-C9FACF762E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17517" y="241124"/>
            <a:ext cx="374040" cy="374041"/>
          </a:xfrm>
          <a:prstGeom prst="rect">
            <a:avLst/>
          </a:prstGeom>
        </xdr:spPr>
      </xdr:pic>
    </xdr:grpSp>
    <xdr:clientData/>
  </xdr:twoCellAnchor>
  <xdr:twoCellAnchor>
    <xdr:from>
      <xdr:col>8</xdr:col>
      <xdr:colOff>399566</xdr:colOff>
      <xdr:row>1</xdr:row>
      <xdr:rowOff>0</xdr:rowOff>
    </xdr:from>
    <xdr:to>
      <xdr:col>11</xdr:col>
      <xdr:colOff>81791</xdr:colOff>
      <xdr:row>4</xdr:row>
      <xdr:rowOff>0</xdr:rowOff>
    </xdr:to>
    <xdr:grpSp>
      <xdr:nvGrpSpPr>
        <xdr:cNvPr id="33" name="Group 32">
          <a:extLst>
            <a:ext uri="{FF2B5EF4-FFF2-40B4-BE49-F238E27FC236}">
              <a16:creationId xmlns:a16="http://schemas.microsoft.com/office/drawing/2014/main" id="{E34333BF-4FC0-2FAF-E2BF-EF4F4DECFA5C}"/>
            </a:ext>
          </a:extLst>
        </xdr:cNvPr>
        <xdr:cNvGrpSpPr/>
      </xdr:nvGrpSpPr>
      <xdr:grpSpPr>
        <a:xfrm>
          <a:off x="5300272" y="186765"/>
          <a:ext cx="1519990" cy="560294"/>
          <a:chOff x="5327650" y="501650"/>
          <a:chExt cx="1581150" cy="603250"/>
        </a:xfrm>
        <a:effectLst>
          <a:outerShdw blurRad="50800" dist="38100" dir="2700000" algn="tl" rotWithShape="0">
            <a:prstClr val="black">
              <a:alpha val="40000"/>
            </a:prstClr>
          </a:outerShdw>
        </a:effectLst>
      </xdr:grpSpPr>
      <xdr:sp macro="" textlink="'Pivot Tables'!$H$15">
        <xdr:nvSpPr>
          <xdr:cNvPr id="29" name="Rectangle 28">
            <a:extLst>
              <a:ext uri="{FF2B5EF4-FFF2-40B4-BE49-F238E27FC236}">
                <a16:creationId xmlns:a16="http://schemas.microsoft.com/office/drawing/2014/main" id="{4BE78948-323D-365F-3755-155C173566E9}"/>
              </a:ext>
            </a:extLst>
          </xdr:cNvPr>
          <xdr:cNvSpPr/>
        </xdr:nvSpPr>
        <xdr:spPr>
          <a:xfrm>
            <a:off x="5327650" y="501650"/>
            <a:ext cx="1581150" cy="60325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33B5FBD-2AE3-4DCA-B7DC-F1F0913792FC}" type="TxLink">
              <a:rPr lang="en-US" sz="1800" b="0" i="0" u="none" strike="noStrike">
                <a:solidFill>
                  <a:srgbClr val="000000"/>
                </a:solidFill>
                <a:latin typeface="Bernard MT Condensed" panose="02050806060905020404" pitchFamily="18" charset="0"/>
                <a:ea typeface="Roboto" panose="02000000000000000000" pitchFamily="2" charset="0"/>
                <a:cs typeface="Roboto" panose="02000000000000000000" pitchFamily="2" charset="0"/>
              </a:rPr>
              <a:pPr algn="ctr"/>
              <a:t>100</a:t>
            </a:fld>
            <a:endParaRPr lang="en-US" sz="1800">
              <a:latin typeface="Bernard MT Condensed" panose="02050806060905020404" pitchFamily="18" charset="0"/>
              <a:ea typeface="Roboto" panose="02000000000000000000" pitchFamily="2" charset="0"/>
              <a:cs typeface="Roboto" panose="02000000000000000000" pitchFamily="2" charset="0"/>
            </a:endParaRPr>
          </a:p>
        </xdr:txBody>
      </xdr:sp>
      <xdr:sp macro="" textlink="">
        <xdr:nvSpPr>
          <xdr:cNvPr id="30" name="TextBox 29">
            <a:extLst>
              <a:ext uri="{FF2B5EF4-FFF2-40B4-BE49-F238E27FC236}">
                <a16:creationId xmlns:a16="http://schemas.microsoft.com/office/drawing/2014/main" id="{104EF6F5-6AA8-68E8-0E6F-CCBF1B4B1340}"/>
              </a:ext>
            </a:extLst>
          </xdr:cNvPr>
          <xdr:cNvSpPr txBox="1"/>
        </xdr:nvSpPr>
        <xdr:spPr>
          <a:xfrm>
            <a:off x="5327650" y="508000"/>
            <a:ext cx="1574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100" b="1">
                <a:latin typeface="Roboto" panose="02000000000000000000" pitchFamily="2" charset="0"/>
                <a:ea typeface="Roboto" panose="02000000000000000000" pitchFamily="2" charset="0"/>
                <a:cs typeface="Roboto" panose="02000000000000000000" pitchFamily="2" charset="0"/>
              </a:rPr>
              <a:t>Female</a:t>
            </a:r>
            <a:r>
              <a:rPr lang="en-US" sz="1100" b="1" baseline="0">
                <a:latin typeface="Roboto" panose="02000000000000000000" pitchFamily="2" charset="0"/>
                <a:ea typeface="Roboto" panose="02000000000000000000" pitchFamily="2" charset="0"/>
                <a:cs typeface="Roboto" panose="02000000000000000000" pitchFamily="2" charset="0"/>
              </a:rPr>
              <a:t> Respondents</a:t>
            </a:r>
            <a:endParaRPr lang="en-US" sz="1100" b="1">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11</xdr:col>
      <xdr:colOff>119788</xdr:colOff>
      <xdr:row>1</xdr:row>
      <xdr:rowOff>6158</xdr:rowOff>
    </xdr:from>
    <xdr:to>
      <xdr:col>13</xdr:col>
      <xdr:colOff>234586</xdr:colOff>
      <xdr:row>4</xdr:row>
      <xdr:rowOff>6158</xdr:rowOff>
    </xdr:to>
    <xdr:sp macro="" textlink="'Pivot Tables'!$H$17">
      <xdr:nvSpPr>
        <xdr:cNvPr id="36" name="Rectangle 35">
          <a:extLst>
            <a:ext uri="{FF2B5EF4-FFF2-40B4-BE49-F238E27FC236}">
              <a16:creationId xmlns:a16="http://schemas.microsoft.com/office/drawing/2014/main" id="{B9B6C52F-DBE9-AC71-1BF5-DE91935B7CC4}"/>
            </a:ext>
          </a:extLst>
        </xdr:cNvPr>
        <xdr:cNvSpPr/>
      </xdr:nvSpPr>
      <xdr:spPr>
        <a:xfrm>
          <a:off x="6813746" y="191366"/>
          <a:ext cx="1331882" cy="555625"/>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9B30FF1-DBF4-43B8-8B0B-FD4C88690363}" type="TxLink">
            <a:rPr lang="en-US" sz="1600" b="0" i="0" u="none" strike="noStrike">
              <a:solidFill>
                <a:srgbClr val="000000"/>
              </a:solidFill>
              <a:latin typeface="Bernard MT Condensed" panose="02050806060905020404" pitchFamily="18" charset="0"/>
              <a:cs typeface="Calibri"/>
            </a:rPr>
            <a:pPr algn="ctr"/>
            <a:t>48.26%</a:t>
          </a:fld>
          <a:endParaRPr lang="en-US" sz="1600">
            <a:latin typeface="Bernard MT Condensed" panose="02050806060905020404" pitchFamily="18" charset="0"/>
          </a:endParaRPr>
        </a:p>
      </xdr:txBody>
    </xdr:sp>
    <xdr:clientData/>
  </xdr:twoCellAnchor>
  <xdr:twoCellAnchor>
    <xdr:from>
      <xdr:col>11</xdr:col>
      <xdr:colOff>113402</xdr:colOff>
      <xdr:row>1</xdr:row>
      <xdr:rowOff>12700</xdr:rowOff>
    </xdr:from>
    <xdr:to>
      <xdr:col>13</xdr:col>
      <xdr:colOff>228200</xdr:colOff>
      <xdr:row>2</xdr:row>
      <xdr:rowOff>95250</xdr:rowOff>
    </xdr:to>
    <xdr:sp macro="" textlink="">
      <xdr:nvSpPr>
        <xdr:cNvPr id="22" name="TextBox 21">
          <a:extLst>
            <a:ext uri="{FF2B5EF4-FFF2-40B4-BE49-F238E27FC236}">
              <a16:creationId xmlns:a16="http://schemas.microsoft.com/office/drawing/2014/main" id="{00AA173E-4A46-5DA4-72A9-329A769C8E5B}"/>
            </a:ext>
          </a:extLst>
        </xdr:cNvPr>
        <xdr:cNvSpPr txBox="1"/>
      </xdr:nvSpPr>
      <xdr:spPr>
        <a:xfrm>
          <a:off x="6807360" y="197908"/>
          <a:ext cx="1331882" cy="26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Roboto" panose="02000000000000000000" pitchFamily="2" charset="0"/>
              <a:ea typeface="Roboto" panose="02000000000000000000" pitchFamily="2" charset="0"/>
              <a:cs typeface="Roboto" panose="02000000000000000000" pitchFamily="2" charset="0"/>
            </a:rPr>
            <a:t>Awareness</a:t>
          </a:r>
          <a:r>
            <a:rPr lang="en-US" sz="1200" b="1" baseline="0">
              <a:latin typeface="Roboto" panose="02000000000000000000" pitchFamily="2" charset="0"/>
              <a:ea typeface="Roboto" panose="02000000000000000000" pitchFamily="2" charset="0"/>
              <a:cs typeface="Roboto" panose="02000000000000000000" pitchFamily="2" charset="0"/>
            </a:rPr>
            <a:t> Rate</a:t>
          </a:r>
          <a:endParaRPr lang="en-US" sz="1200" b="1">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xdr:from>
      <xdr:col>3</xdr:col>
      <xdr:colOff>600867</xdr:colOff>
      <xdr:row>0</xdr:row>
      <xdr:rowOff>171450</xdr:rowOff>
    </xdr:from>
    <xdr:to>
      <xdr:col>6</xdr:col>
      <xdr:colOff>196257</xdr:colOff>
      <xdr:row>4</xdr:row>
      <xdr:rowOff>0</xdr:rowOff>
    </xdr:to>
    <xdr:sp macro="" textlink="">
      <xdr:nvSpPr>
        <xdr:cNvPr id="21" name="Rectangle 20">
          <a:extLst>
            <a:ext uri="{FF2B5EF4-FFF2-40B4-BE49-F238E27FC236}">
              <a16:creationId xmlns:a16="http://schemas.microsoft.com/office/drawing/2014/main" id="{5C9FB000-B4D3-1FF1-A54F-15F283EBF462}"/>
            </a:ext>
          </a:extLst>
        </xdr:cNvPr>
        <xdr:cNvSpPr/>
      </xdr:nvSpPr>
      <xdr:spPr>
        <a:xfrm>
          <a:off x="2426492" y="171450"/>
          <a:ext cx="1421015" cy="569383"/>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0" i="0" u="none" strike="noStrike">
              <a:solidFill>
                <a:srgbClr val="000000"/>
              </a:solidFill>
              <a:latin typeface="Bernard MT Condensed" panose="02050806060905020404" pitchFamily="18" charset="0"/>
              <a:ea typeface="Roboto" panose="020F0502020204030204" pitchFamily="2" charset="0"/>
              <a:cs typeface="Roboto" panose="020F0502020204030204" pitchFamily="2" charset="0"/>
            </a:rPr>
            <a:t>201</a:t>
          </a:r>
        </a:p>
      </xdr:txBody>
    </xdr:sp>
    <xdr:clientData/>
  </xdr:twoCellAnchor>
  <xdr:twoCellAnchor>
    <xdr:from>
      <xdr:col>13</xdr:col>
      <xdr:colOff>266901</xdr:colOff>
      <xdr:row>1</xdr:row>
      <xdr:rowOff>6158</xdr:rowOff>
    </xdr:from>
    <xdr:to>
      <xdr:col>15</xdr:col>
      <xdr:colOff>293125</xdr:colOff>
      <xdr:row>4</xdr:row>
      <xdr:rowOff>0</xdr:rowOff>
    </xdr:to>
    <xdr:sp macro="" textlink="'Pivot Tables'!H19">
      <xdr:nvSpPr>
        <xdr:cNvPr id="27" name="Rectangle 26">
          <a:extLst>
            <a:ext uri="{FF2B5EF4-FFF2-40B4-BE49-F238E27FC236}">
              <a16:creationId xmlns:a16="http://schemas.microsoft.com/office/drawing/2014/main" id="{C5B64257-4F75-1336-2D37-25B922AE20EC}"/>
            </a:ext>
          </a:extLst>
        </xdr:cNvPr>
        <xdr:cNvSpPr/>
      </xdr:nvSpPr>
      <xdr:spPr>
        <a:xfrm>
          <a:off x="8177943" y="191366"/>
          <a:ext cx="1243307" cy="549467"/>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3FF8DEF-A964-48AC-89B0-C7C086F23ED8}" type="TxLink">
            <a:rPr lang="en-US" sz="1600" b="0" i="0" u="none" strike="noStrike">
              <a:solidFill>
                <a:srgbClr val="000000"/>
              </a:solidFill>
              <a:latin typeface="Bernard MT Condensed" panose="02050806060905020404" pitchFamily="18" charset="0"/>
              <a:cs typeface="Calibri"/>
            </a:rPr>
            <a:pPr algn="ctr"/>
            <a:t>51.74%</a:t>
          </a:fld>
          <a:endParaRPr lang="en-US" sz="1600">
            <a:latin typeface="Bernard MT Condensed" panose="02050806060905020404" pitchFamily="18" charset="0"/>
          </a:endParaRPr>
        </a:p>
      </xdr:txBody>
    </xdr:sp>
    <xdr:clientData/>
  </xdr:twoCellAnchor>
  <xdr:twoCellAnchor>
    <xdr:from>
      <xdr:col>13</xdr:col>
      <xdr:colOff>215557</xdr:colOff>
      <xdr:row>0</xdr:row>
      <xdr:rowOff>177800</xdr:rowOff>
    </xdr:from>
    <xdr:to>
      <xdr:col>15</xdr:col>
      <xdr:colOff>406222</xdr:colOff>
      <xdr:row>2</xdr:row>
      <xdr:rowOff>76200</xdr:rowOff>
    </xdr:to>
    <xdr:sp macro="" textlink="">
      <xdr:nvSpPr>
        <xdr:cNvPr id="32" name="TextBox 31">
          <a:extLst>
            <a:ext uri="{FF2B5EF4-FFF2-40B4-BE49-F238E27FC236}">
              <a16:creationId xmlns:a16="http://schemas.microsoft.com/office/drawing/2014/main" id="{6FD0BBB8-A744-498F-7258-4AB94D6C0844}"/>
            </a:ext>
          </a:extLst>
        </xdr:cNvPr>
        <xdr:cNvSpPr txBox="1"/>
      </xdr:nvSpPr>
      <xdr:spPr>
        <a:xfrm>
          <a:off x="8126599" y="177800"/>
          <a:ext cx="1407748" cy="26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Roboto" panose="02000000000000000000" pitchFamily="2" charset="0"/>
              <a:ea typeface="Roboto" panose="02000000000000000000" pitchFamily="2" charset="0"/>
              <a:cs typeface="Roboto" panose="02000000000000000000" pitchFamily="2" charset="0"/>
            </a:rPr>
            <a:t>Unawareness</a:t>
          </a:r>
          <a:r>
            <a:rPr lang="en-US" sz="1100" b="1" baseline="0">
              <a:latin typeface="Roboto" panose="02000000000000000000" pitchFamily="2" charset="0"/>
              <a:ea typeface="Roboto" panose="02000000000000000000" pitchFamily="2" charset="0"/>
              <a:cs typeface="Roboto" panose="02000000000000000000" pitchFamily="2" charset="0"/>
            </a:rPr>
            <a:t> Rate</a:t>
          </a:r>
          <a:endParaRPr lang="en-US" sz="1100" b="1">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xdr:from>
      <xdr:col>4</xdr:col>
      <xdr:colOff>75136</xdr:colOff>
      <xdr:row>2</xdr:row>
      <xdr:rowOff>0</xdr:rowOff>
    </xdr:from>
    <xdr:to>
      <xdr:col>4</xdr:col>
      <xdr:colOff>435503</xdr:colOff>
      <xdr:row>4</xdr:row>
      <xdr:rowOff>7055</xdr:rowOff>
    </xdr:to>
    <xdr:pic>
      <xdr:nvPicPr>
        <xdr:cNvPr id="26" name="Graphic 25" descr="Users">
          <a:extLst>
            <a:ext uri="{FF2B5EF4-FFF2-40B4-BE49-F238E27FC236}">
              <a16:creationId xmlns:a16="http://schemas.microsoft.com/office/drawing/2014/main" id="{0E7D4693-0252-A70B-9C05-D4D489F810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09303" y="370417"/>
          <a:ext cx="360367" cy="377471"/>
        </a:xfrm>
        <a:prstGeom prst="rect">
          <a:avLst/>
        </a:prstGeom>
      </xdr:spPr>
    </xdr:pic>
    <xdr:clientData/>
  </xdr:twoCellAnchor>
  <xdr:twoCellAnchor>
    <xdr:from>
      <xdr:col>3</xdr:col>
      <xdr:colOff>596220</xdr:colOff>
      <xdr:row>1</xdr:row>
      <xdr:rowOff>6350</xdr:rowOff>
    </xdr:from>
    <xdr:to>
      <xdr:col>6</xdr:col>
      <xdr:colOff>164645</xdr:colOff>
      <xdr:row>2</xdr:row>
      <xdr:rowOff>25400</xdr:rowOff>
    </xdr:to>
    <xdr:sp macro="" textlink="">
      <xdr:nvSpPr>
        <xdr:cNvPr id="25" name="TextBox 24">
          <a:extLst>
            <a:ext uri="{FF2B5EF4-FFF2-40B4-BE49-F238E27FC236}">
              <a16:creationId xmlns:a16="http://schemas.microsoft.com/office/drawing/2014/main" id="{97F3E899-8798-89C4-0D76-193AD1EBC7A8}"/>
            </a:ext>
          </a:extLst>
        </xdr:cNvPr>
        <xdr:cNvSpPr txBox="1"/>
      </xdr:nvSpPr>
      <xdr:spPr>
        <a:xfrm>
          <a:off x="2421845" y="191558"/>
          <a:ext cx="1394050" cy="204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Roboto" panose="02000000000000000000" pitchFamily="2" charset="0"/>
              <a:ea typeface="Roboto" panose="02000000000000000000" pitchFamily="2" charset="0"/>
              <a:cs typeface="Roboto" panose="02000000000000000000" pitchFamily="2" charset="0"/>
            </a:rPr>
            <a:t>Total Respondents</a:t>
          </a:r>
        </a:p>
      </xdr:txBody>
    </xdr:sp>
    <xdr:clientData/>
  </xdr:twoCellAnchor>
  <xdr:twoCellAnchor>
    <xdr:from>
      <xdr:col>3</xdr:col>
      <xdr:colOff>599475</xdr:colOff>
      <xdr:row>4</xdr:row>
      <xdr:rowOff>38117</xdr:rowOff>
    </xdr:from>
    <xdr:to>
      <xdr:col>9</xdr:col>
      <xdr:colOff>400774</xdr:colOff>
      <xdr:row>12</xdr:row>
      <xdr:rowOff>171979</xdr:rowOff>
    </xdr:to>
    <xdr:graphicFrame macro="">
      <xdr:nvGraphicFramePr>
        <xdr:cNvPr id="5" name="Chart 4">
          <a:extLst>
            <a:ext uri="{FF2B5EF4-FFF2-40B4-BE49-F238E27FC236}">
              <a16:creationId xmlns:a16="http://schemas.microsoft.com/office/drawing/2014/main" id="{7D4CE56C-25CF-49A7-A54D-1E287DAC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451817</xdr:colOff>
      <xdr:row>4</xdr:row>
      <xdr:rowOff>64575</xdr:rowOff>
    </xdr:from>
    <xdr:to>
      <xdr:col>15</xdr:col>
      <xdr:colOff>363802</xdr:colOff>
      <xdr:row>13</xdr:row>
      <xdr:rowOff>6615</xdr:rowOff>
    </xdr:to>
    <xdr:graphicFrame macro="">
      <xdr:nvGraphicFramePr>
        <xdr:cNvPr id="6" name="Chart 5">
          <a:extLst>
            <a:ext uri="{FF2B5EF4-FFF2-40B4-BE49-F238E27FC236}">
              <a16:creationId xmlns:a16="http://schemas.microsoft.com/office/drawing/2014/main" id="{701CF030-D527-494C-9C74-770BC0E9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312442</xdr:colOff>
      <xdr:row>1</xdr:row>
      <xdr:rowOff>0</xdr:rowOff>
    </xdr:from>
    <xdr:to>
      <xdr:col>17</xdr:col>
      <xdr:colOff>465173</xdr:colOff>
      <xdr:row>3</xdr:row>
      <xdr:rowOff>178594</xdr:rowOff>
    </xdr:to>
    <xdr:sp macro="" textlink="">
      <xdr:nvSpPr>
        <xdr:cNvPr id="7" name="Rectangle 6">
          <a:extLst>
            <a:ext uri="{FF2B5EF4-FFF2-40B4-BE49-F238E27FC236}">
              <a16:creationId xmlns:a16="http://schemas.microsoft.com/office/drawing/2014/main" id="{77B7EC0E-BEEB-5B48-7B6E-E55BD6FC721C}"/>
            </a:ext>
          </a:extLst>
        </xdr:cNvPr>
        <xdr:cNvSpPr/>
      </xdr:nvSpPr>
      <xdr:spPr>
        <a:xfrm>
          <a:off x="9440567" y="185208"/>
          <a:ext cx="1369814" cy="549011"/>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2000">
              <a:solidFill>
                <a:sysClr val="windowText" lastClr="000000"/>
              </a:solidFill>
              <a:latin typeface="Bahnschrift Condensed" panose="020B0502040204020203" pitchFamily="34" charset="0"/>
              <a:ea typeface="Roboto" panose="02000000000000000000" pitchFamily="2" charset="0"/>
              <a:cs typeface="Roboto" panose="02000000000000000000" pitchFamily="2" charset="0"/>
            </a:rPr>
            <a:t>Whatsapp</a:t>
          </a:r>
        </a:p>
      </xdr:txBody>
    </xdr:sp>
    <xdr:clientData/>
  </xdr:twoCellAnchor>
  <xdr:twoCellAnchor>
    <xdr:from>
      <xdr:col>17</xdr:col>
      <xdr:colOff>498103</xdr:colOff>
      <xdr:row>1</xdr:row>
      <xdr:rowOff>265</xdr:rowOff>
    </xdr:from>
    <xdr:to>
      <xdr:col>20</xdr:col>
      <xdr:colOff>92606</xdr:colOff>
      <xdr:row>3</xdr:row>
      <xdr:rowOff>171980</xdr:rowOff>
    </xdr:to>
    <xdr:sp macro="" textlink="">
      <xdr:nvSpPr>
        <xdr:cNvPr id="8" name="Rectangle 7">
          <a:extLst>
            <a:ext uri="{FF2B5EF4-FFF2-40B4-BE49-F238E27FC236}">
              <a16:creationId xmlns:a16="http://schemas.microsoft.com/office/drawing/2014/main" id="{3F9BA996-F11F-14CD-6757-9DE4E212C5C7}"/>
            </a:ext>
          </a:extLst>
        </xdr:cNvPr>
        <xdr:cNvSpPr/>
      </xdr:nvSpPr>
      <xdr:spPr>
        <a:xfrm>
          <a:off x="10843311" y="185473"/>
          <a:ext cx="1420128" cy="542132"/>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600">
              <a:solidFill>
                <a:sysClr val="windowText" lastClr="000000"/>
              </a:solidFill>
              <a:latin typeface="Bahnschrift Condensed" panose="020B0502040204020203" pitchFamily="34" charset="0"/>
            </a:rPr>
            <a:t>School Authorities</a:t>
          </a:r>
        </a:p>
      </xdr:txBody>
    </xdr:sp>
    <xdr:clientData/>
  </xdr:twoCellAnchor>
  <xdr:twoCellAnchor>
    <xdr:from>
      <xdr:col>15</xdr:col>
      <xdr:colOff>240001</xdr:colOff>
      <xdr:row>0</xdr:row>
      <xdr:rowOff>145522</xdr:rowOff>
    </xdr:from>
    <xdr:to>
      <xdr:col>17</xdr:col>
      <xdr:colOff>596888</xdr:colOff>
      <xdr:row>2</xdr:row>
      <xdr:rowOff>0</xdr:rowOff>
    </xdr:to>
    <xdr:sp macro="" textlink="">
      <xdr:nvSpPr>
        <xdr:cNvPr id="9" name="TextBox 8">
          <a:extLst>
            <a:ext uri="{FF2B5EF4-FFF2-40B4-BE49-F238E27FC236}">
              <a16:creationId xmlns:a16="http://schemas.microsoft.com/office/drawing/2014/main" id="{1F175EB8-7748-E679-50A5-B77292700334}"/>
            </a:ext>
          </a:extLst>
        </xdr:cNvPr>
        <xdr:cNvSpPr txBox="1"/>
      </xdr:nvSpPr>
      <xdr:spPr>
        <a:xfrm>
          <a:off x="9368126" y="145522"/>
          <a:ext cx="1573970" cy="22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Most Effective</a:t>
          </a:r>
          <a:r>
            <a:rPr lang="en-US" sz="1050" b="1" baseline="0"/>
            <a:t> Platform</a:t>
          </a:r>
          <a:endParaRPr lang="en-US" sz="1050" b="1"/>
        </a:p>
      </xdr:txBody>
    </xdr:sp>
    <xdr:clientData/>
  </xdr:twoCellAnchor>
  <xdr:twoCellAnchor>
    <xdr:from>
      <xdr:col>15</xdr:col>
      <xdr:colOff>277844</xdr:colOff>
      <xdr:row>1</xdr:row>
      <xdr:rowOff>109993</xdr:rowOff>
    </xdr:from>
    <xdr:to>
      <xdr:col>16</xdr:col>
      <xdr:colOff>105624</xdr:colOff>
      <xdr:row>4</xdr:row>
      <xdr:rowOff>19065</xdr:rowOff>
    </xdr:to>
    <xdr:pic>
      <xdr:nvPicPr>
        <xdr:cNvPr id="10" name="Picture 9">
          <a:extLst>
            <a:ext uri="{FF2B5EF4-FFF2-40B4-BE49-F238E27FC236}">
              <a16:creationId xmlns:a16="http://schemas.microsoft.com/office/drawing/2014/main" id="{A0020F6E-2325-58BD-B636-A22270BE629E}"/>
            </a:ext>
          </a:extLst>
        </xdr:cNvPr>
        <xdr:cNvPicPr>
          <a:picLocks noChangeAspect="1"/>
        </xdr:cNvPicPr>
      </xdr:nvPicPr>
      <xdr:blipFill>
        <a:blip xmlns:r="http://schemas.openxmlformats.org/officeDocument/2006/relationships" r:embed="rId9"/>
        <a:stretch>
          <a:fillRect/>
        </a:stretch>
      </xdr:blipFill>
      <xdr:spPr>
        <a:xfrm>
          <a:off x="9405969" y="295201"/>
          <a:ext cx="436322" cy="464697"/>
        </a:xfrm>
        <a:prstGeom prst="rect">
          <a:avLst/>
        </a:prstGeom>
      </xdr:spPr>
    </xdr:pic>
    <xdr:clientData/>
  </xdr:twoCellAnchor>
  <xdr:twoCellAnchor>
    <xdr:from>
      <xdr:col>17</xdr:col>
      <xdr:colOff>432245</xdr:colOff>
      <xdr:row>0</xdr:row>
      <xdr:rowOff>165365</xdr:rowOff>
    </xdr:from>
    <xdr:to>
      <xdr:col>21</xdr:col>
      <xdr:colOff>13287</xdr:colOff>
      <xdr:row>2</xdr:row>
      <xdr:rowOff>59532</xdr:rowOff>
    </xdr:to>
    <xdr:sp macro="" textlink="">
      <xdr:nvSpPr>
        <xdr:cNvPr id="11" name="TextBox 10">
          <a:extLst>
            <a:ext uri="{FF2B5EF4-FFF2-40B4-BE49-F238E27FC236}">
              <a16:creationId xmlns:a16="http://schemas.microsoft.com/office/drawing/2014/main" id="{BC8D2924-44EA-4D5D-9AC1-FB06CE26D95A}"/>
            </a:ext>
          </a:extLst>
        </xdr:cNvPr>
        <xdr:cNvSpPr txBox="1"/>
      </xdr:nvSpPr>
      <xdr:spPr>
        <a:xfrm>
          <a:off x="10777453" y="165365"/>
          <a:ext cx="2015209"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ysClr val="windowText" lastClr="000000"/>
              </a:solidFill>
            </a:rPr>
            <a:t>Most Known reporting channel</a:t>
          </a:r>
        </a:p>
      </xdr:txBody>
    </xdr:sp>
    <xdr:clientData/>
  </xdr:twoCellAnchor>
  <xdr:twoCellAnchor editAs="oneCell">
    <xdr:from>
      <xdr:col>0</xdr:col>
      <xdr:colOff>0</xdr:colOff>
      <xdr:row>4</xdr:row>
      <xdr:rowOff>147374</xdr:rowOff>
    </xdr:from>
    <xdr:to>
      <xdr:col>3</xdr:col>
      <xdr:colOff>449792</xdr:colOff>
      <xdr:row>7</xdr:row>
      <xdr:rowOff>165365</xdr:rowOff>
    </xdr:to>
    <mc:AlternateContent xmlns:mc="http://schemas.openxmlformats.org/markup-compatibility/2006" xmlns:a14="http://schemas.microsoft.com/office/drawing/2010/main">
      <mc:Choice Requires="a14">
        <xdr:graphicFrame macro="">
          <xdr:nvGraphicFramePr>
            <xdr:cNvPr id="13" name="Awareness_Of_Reporting_Channels">
              <a:extLst>
                <a:ext uri="{FF2B5EF4-FFF2-40B4-BE49-F238E27FC236}">
                  <a16:creationId xmlns:a16="http://schemas.microsoft.com/office/drawing/2014/main" id="{E9D9C5E2-E916-01CE-FD2C-54A91337A280}"/>
                </a:ext>
              </a:extLst>
            </xdr:cNvPr>
            <xdr:cNvGraphicFramePr/>
          </xdr:nvGraphicFramePr>
          <xdr:xfrm>
            <a:off x="0" y="0"/>
            <a:ext cx="0" cy="0"/>
          </xdr:xfrm>
          <a:graphic>
            <a:graphicData uri="http://schemas.microsoft.com/office/drawing/2010/slicer">
              <sle:slicer xmlns:sle="http://schemas.microsoft.com/office/drawing/2010/slicer" name="Awareness_Of_Reporting_Channels"/>
            </a:graphicData>
          </a:graphic>
        </xdr:graphicFrame>
      </mc:Choice>
      <mc:Fallback xmlns="">
        <xdr:sp macro="" textlink="">
          <xdr:nvSpPr>
            <xdr:cNvPr id="0" name=""/>
            <xdr:cNvSpPr>
              <a:spLocks noTextEdit="1"/>
            </xdr:cNvSpPr>
          </xdr:nvSpPr>
          <xdr:spPr>
            <a:xfrm>
              <a:off x="0" y="888207"/>
              <a:ext cx="2275417" cy="573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114301</xdr:rowOff>
    </xdr:from>
    <xdr:to>
      <xdr:col>3</xdr:col>
      <xdr:colOff>456406</xdr:colOff>
      <xdr:row>20</xdr:row>
      <xdr:rowOff>178594</xdr:rowOff>
    </xdr:to>
    <mc:AlternateContent xmlns:mc="http://schemas.openxmlformats.org/markup-compatibility/2006" xmlns:a14="http://schemas.microsoft.com/office/drawing/2010/main">
      <mc:Choice Requires="a14">
        <xdr:graphicFrame macro="">
          <xdr:nvGraphicFramePr>
            <xdr:cNvPr id="15" name="  Level_Of_Awareness">
              <a:extLst>
                <a:ext uri="{FF2B5EF4-FFF2-40B4-BE49-F238E27FC236}">
                  <a16:creationId xmlns:a16="http://schemas.microsoft.com/office/drawing/2014/main" id="{6B4949CC-FBB5-1538-11FE-3722844FD495}"/>
                </a:ext>
              </a:extLst>
            </xdr:cNvPr>
            <xdr:cNvGraphicFramePr/>
          </xdr:nvGraphicFramePr>
          <xdr:xfrm>
            <a:off x="0" y="0"/>
            <a:ext cx="0" cy="0"/>
          </xdr:xfrm>
          <a:graphic>
            <a:graphicData uri="http://schemas.microsoft.com/office/drawing/2010/slicer">
              <sle:slicer xmlns:sle="http://schemas.microsoft.com/office/drawing/2010/slicer" name="  Level_Of_Awareness"/>
            </a:graphicData>
          </a:graphic>
        </xdr:graphicFrame>
      </mc:Choice>
      <mc:Fallback xmlns="">
        <xdr:sp macro="" textlink="">
          <xdr:nvSpPr>
            <xdr:cNvPr id="0" name=""/>
            <xdr:cNvSpPr>
              <a:spLocks noTextEdit="1"/>
            </xdr:cNvSpPr>
          </xdr:nvSpPr>
          <xdr:spPr>
            <a:xfrm>
              <a:off x="0" y="2707218"/>
              <a:ext cx="2282031" cy="1175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19315</xdr:colOff>
      <xdr:row>1</xdr:row>
      <xdr:rowOff>21696</xdr:rowOff>
    </xdr:from>
    <xdr:to>
      <xdr:col>3</xdr:col>
      <xdr:colOff>456406</xdr:colOff>
      <xdr:row>4</xdr:row>
      <xdr:rowOff>132292</xdr:rowOff>
    </xdr:to>
    <mc:AlternateContent xmlns:mc="http://schemas.openxmlformats.org/markup-compatibility/2006" xmlns:a14="http://schemas.microsoft.com/office/drawing/2010/main">
      <mc:Choice Requires="a14">
        <xdr:graphicFrame macro="">
          <xdr:nvGraphicFramePr>
            <xdr:cNvPr id="16" name="Reporting_Channel_Willingness">
              <a:extLst>
                <a:ext uri="{FF2B5EF4-FFF2-40B4-BE49-F238E27FC236}">
                  <a16:creationId xmlns:a16="http://schemas.microsoft.com/office/drawing/2014/main" id="{E6C59523-C075-D911-C484-FA413FB88CC2}"/>
                </a:ext>
              </a:extLst>
            </xdr:cNvPr>
            <xdr:cNvGraphicFramePr/>
          </xdr:nvGraphicFramePr>
          <xdr:xfrm>
            <a:off x="0" y="0"/>
            <a:ext cx="0" cy="0"/>
          </xdr:xfrm>
          <a:graphic>
            <a:graphicData uri="http://schemas.microsoft.com/office/drawing/2010/slicer">
              <sle:slicer xmlns:sle="http://schemas.microsoft.com/office/drawing/2010/slicer" name="Reporting_Channel_Willingness"/>
            </a:graphicData>
          </a:graphic>
        </xdr:graphicFrame>
      </mc:Choice>
      <mc:Fallback xmlns="">
        <xdr:sp macro="" textlink="">
          <xdr:nvSpPr>
            <xdr:cNvPr id="0" name=""/>
            <xdr:cNvSpPr>
              <a:spLocks noTextEdit="1"/>
            </xdr:cNvSpPr>
          </xdr:nvSpPr>
          <xdr:spPr>
            <a:xfrm>
              <a:off x="19315" y="206904"/>
              <a:ext cx="2262716" cy="666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67998</xdr:rowOff>
    </xdr:from>
    <xdr:to>
      <xdr:col>3</xdr:col>
      <xdr:colOff>456406</xdr:colOff>
      <xdr:row>14</xdr:row>
      <xdr:rowOff>119062</xdr:rowOff>
    </xdr:to>
    <mc:AlternateContent xmlns:mc="http://schemas.openxmlformats.org/markup-compatibility/2006" xmlns:a14="http://schemas.microsoft.com/office/drawing/2010/main">
      <mc:Choice Requires="a14">
        <xdr:graphicFrame macro="">
          <xdr:nvGraphicFramePr>
            <xdr:cNvPr id="17" name="Can_official_Channel_Encourage_Students?">
              <a:extLst>
                <a:ext uri="{FF2B5EF4-FFF2-40B4-BE49-F238E27FC236}">
                  <a16:creationId xmlns:a16="http://schemas.microsoft.com/office/drawing/2014/main" id="{D8FB9E38-CFE2-1A13-4C2B-04F5B777AEEC}"/>
                </a:ext>
              </a:extLst>
            </xdr:cNvPr>
            <xdr:cNvGraphicFramePr/>
          </xdr:nvGraphicFramePr>
          <xdr:xfrm>
            <a:off x="0" y="0"/>
            <a:ext cx="0" cy="0"/>
          </xdr:xfrm>
          <a:graphic>
            <a:graphicData uri="http://schemas.microsoft.com/office/drawing/2010/slicer">
              <sle:slicer xmlns:sle="http://schemas.microsoft.com/office/drawing/2010/slicer" name="Can_official_Channel_Encourage_Students?"/>
            </a:graphicData>
          </a:graphic>
        </xdr:graphicFrame>
      </mc:Choice>
      <mc:Fallback xmlns="">
        <xdr:sp macro="" textlink="">
          <xdr:nvSpPr>
            <xdr:cNvPr id="0" name=""/>
            <xdr:cNvSpPr>
              <a:spLocks noTextEdit="1"/>
            </xdr:cNvSpPr>
          </xdr:nvSpPr>
          <xdr:spPr>
            <a:xfrm>
              <a:off x="0" y="2105290"/>
              <a:ext cx="2282031" cy="606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173832</xdr:rowOff>
    </xdr:from>
    <xdr:to>
      <xdr:col>3</xdr:col>
      <xdr:colOff>463021</xdr:colOff>
      <xdr:row>11</xdr:row>
      <xdr:rowOff>52917</xdr:rowOff>
    </xdr:to>
    <mc:AlternateContent xmlns:mc="http://schemas.openxmlformats.org/markup-compatibility/2006" xmlns:a14="http://schemas.microsoft.com/office/drawing/2010/main">
      <mc:Choice Requires="a14">
        <xdr:graphicFrame macro="">
          <xdr:nvGraphicFramePr>
            <xdr:cNvPr id="18" name="Anonymity_Influence">
              <a:extLst>
                <a:ext uri="{FF2B5EF4-FFF2-40B4-BE49-F238E27FC236}">
                  <a16:creationId xmlns:a16="http://schemas.microsoft.com/office/drawing/2014/main" id="{F824A4E8-74D7-816E-C598-0741D066D368}"/>
                </a:ext>
              </a:extLst>
            </xdr:cNvPr>
            <xdr:cNvGraphicFramePr/>
          </xdr:nvGraphicFramePr>
          <xdr:xfrm>
            <a:off x="0" y="0"/>
            <a:ext cx="0" cy="0"/>
          </xdr:xfrm>
          <a:graphic>
            <a:graphicData uri="http://schemas.microsoft.com/office/drawing/2010/slicer">
              <sle:slicer xmlns:sle="http://schemas.microsoft.com/office/drawing/2010/slicer" name="Anonymity_Influence"/>
            </a:graphicData>
          </a:graphic>
        </xdr:graphicFrame>
      </mc:Choice>
      <mc:Fallback xmlns="">
        <xdr:sp macro="" textlink="">
          <xdr:nvSpPr>
            <xdr:cNvPr id="0" name=""/>
            <xdr:cNvSpPr>
              <a:spLocks noTextEdit="1"/>
            </xdr:cNvSpPr>
          </xdr:nvSpPr>
          <xdr:spPr>
            <a:xfrm>
              <a:off x="0" y="1470290"/>
              <a:ext cx="2288646" cy="619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11554</xdr:colOff>
      <xdr:row>13</xdr:row>
      <xdr:rowOff>5042</xdr:rowOff>
    </xdr:from>
    <xdr:to>
      <xdr:col>9</xdr:col>
      <xdr:colOff>423333</xdr:colOff>
      <xdr:row>24</xdr:row>
      <xdr:rowOff>132291</xdr:rowOff>
    </xdr:to>
    <xdr:graphicFrame macro="">
      <xdr:nvGraphicFramePr>
        <xdr:cNvPr id="20" name="Chart 19">
          <a:extLst>
            <a:ext uri="{FF2B5EF4-FFF2-40B4-BE49-F238E27FC236}">
              <a16:creationId xmlns:a16="http://schemas.microsoft.com/office/drawing/2014/main" id="{1DDAC6F6-BD8F-4337-B77A-EFB66EB30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454731</xdr:colOff>
      <xdr:row>13</xdr:row>
      <xdr:rowOff>19844</xdr:rowOff>
    </xdr:from>
    <xdr:to>
      <xdr:col>15</xdr:col>
      <xdr:colOff>370417</xdr:colOff>
      <xdr:row>24</xdr:row>
      <xdr:rowOff>125678</xdr:rowOff>
    </xdr:to>
    <xdr:graphicFrame macro="">
      <xdr:nvGraphicFramePr>
        <xdr:cNvPr id="39" name="Chart 38">
          <a:extLst>
            <a:ext uri="{FF2B5EF4-FFF2-40B4-BE49-F238E27FC236}">
              <a16:creationId xmlns:a16="http://schemas.microsoft.com/office/drawing/2014/main" id="{33165E33-41B5-41B4-8410-C577A159F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6615</xdr:colOff>
      <xdr:row>20</xdr:row>
      <xdr:rowOff>124883</xdr:rowOff>
    </xdr:from>
    <xdr:to>
      <xdr:col>3</xdr:col>
      <xdr:colOff>469636</xdr:colOff>
      <xdr:row>24</xdr:row>
      <xdr:rowOff>119063</xdr:rowOff>
    </xdr:to>
    <mc:AlternateContent xmlns:mc="http://schemas.openxmlformats.org/markup-compatibility/2006" xmlns:a14="http://schemas.microsoft.com/office/drawing/2010/main">
      <mc:Choice Requires="a14">
        <xdr:graphicFrame macro="">
          <xdr:nvGraphicFramePr>
            <xdr:cNvPr id="40" name="Exposure to sexual awareness">
              <a:extLst>
                <a:ext uri="{FF2B5EF4-FFF2-40B4-BE49-F238E27FC236}">
                  <a16:creationId xmlns:a16="http://schemas.microsoft.com/office/drawing/2014/main" id="{E67EE7B7-9022-51CE-4466-83E756911B63}"/>
                </a:ext>
              </a:extLst>
            </xdr:cNvPr>
            <xdr:cNvGraphicFramePr/>
          </xdr:nvGraphicFramePr>
          <xdr:xfrm>
            <a:off x="0" y="0"/>
            <a:ext cx="0" cy="0"/>
          </xdr:xfrm>
          <a:graphic>
            <a:graphicData uri="http://schemas.microsoft.com/office/drawing/2010/slicer">
              <sle:slicer xmlns:sle="http://schemas.microsoft.com/office/drawing/2010/slicer" name="Exposure to sexual awareness"/>
            </a:graphicData>
          </a:graphic>
        </xdr:graphicFrame>
      </mc:Choice>
      <mc:Fallback xmlns="">
        <xdr:sp macro="" textlink="">
          <xdr:nvSpPr>
            <xdr:cNvPr id="0" name=""/>
            <xdr:cNvSpPr>
              <a:spLocks noTextEdit="1"/>
            </xdr:cNvSpPr>
          </xdr:nvSpPr>
          <xdr:spPr>
            <a:xfrm>
              <a:off x="6615" y="3829050"/>
              <a:ext cx="2288646" cy="735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429948</xdr:colOff>
      <xdr:row>4</xdr:row>
      <xdr:rowOff>79374</xdr:rowOff>
    </xdr:from>
    <xdr:to>
      <xdr:col>20</xdr:col>
      <xdr:colOff>357188</xdr:colOff>
      <xdr:row>24</xdr:row>
      <xdr:rowOff>79374</xdr:rowOff>
    </xdr:to>
    <xdr:sp macro="" textlink="">
      <xdr:nvSpPr>
        <xdr:cNvPr id="47" name="Rectangle 46">
          <a:extLst>
            <a:ext uri="{FF2B5EF4-FFF2-40B4-BE49-F238E27FC236}">
              <a16:creationId xmlns:a16="http://schemas.microsoft.com/office/drawing/2014/main" id="{88571F77-C819-0B84-B067-358E397A613E}"/>
            </a:ext>
          </a:extLst>
        </xdr:cNvPr>
        <xdr:cNvSpPr/>
      </xdr:nvSpPr>
      <xdr:spPr>
        <a:xfrm>
          <a:off x="9558073" y="820207"/>
          <a:ext cx="2969948" cy="3704167"/>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429947</xdr:colOff>
      <xdr:row>4</xdr:row>
      <xdr:rowOff>49492</xdr:rowOff>
    </xdr:from>
    <xdr:to>
      <xdr:col>20</xdr:col>
      <xdr:colOff>343958</xdr:colOff>
      <xdr:row>24</xdr:row>
      <xdr:rowOff>104588</xdr:rowOff>
    </xdr:to>
    <xdr:graphicFrame macro="">
      <xdr:nvGraphicFramePr>
        <xdr:cNvPr id="48" name="Chart 47">
          <a:extLst>
            <a:ext uri="{FF2B5EF4-FFF2-40B4-BE49-F238E27FC236}">
              <a16:creationId xmlns:a16="http://schemas.microsoft.com/office/drawing/2014/main" id="{75B5A2FB-5549-463A-9869-A1291F27C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9.656035416665" createdVersion="8" refreshedVersion="8" minRefreshableVersion="3" recordCount="201" xr:uid="{67B1B32B-A8C0-476E-BC09-803879D8B93F}">
  <cacheSource type="worksheet">
    <worksheetSource name="INFLUENCE_OF_SOCIAL_MEDIA_ON_THE_AWARENESS_OF_CHANNELS_OF_REPORTAGE_OF_SEXUAL_HA"/>
  </cacheSource>
  <cacheFields count="20">
    <cacheField name="Gender" numFmtId="0">
      <sharedItems count="3">
        <s v="Female"/>
        <s v="Male"/>
        <s v="Prefer not to say"/>
      </sharedItems>
    </cacheField>
    <cacheField name="Age-Range" numFmtId="0">
      <sharedItems/>
    </cacheField>
    <cacheField name="Study_Level" numFmtId="0">
      <sharedItems count="5">
        <s v="100 Level"/>
        <s v="500 Level"/>
        <s v="400 Level"/>
        <s v="300 Level"/>
        <s v="200 Level"/>
      </sharedItems>
    </cacheField>
    <cacheField name="Awareness_Of_Reporting_Channels" numFmtId="0">
      <sharedItems count="2">
        <s v="No"/>
        <s v="Yes"/>
      </sharedItems>
    </cacheField>
    <cacheField name="  Level_Of_Awareness" numFmtId="0">
      <sharedItems count="5">
        <s v="Very high"/>
        <s v="Low"/>
        <s v="Moderate"/>
        <s v="High"/>
        <s v="Very low"/>
      </sharedItems>
    </cacheField>
    <cacheField name="Reporting_Channels" numFmtId="0">
      <sharedItems count="6">
        <s v="School authorities (e.g,lecturers, HOD)"/>
        <s v="Unaware of Any"/>
        <s v="Sexual and gender-based violence officers in faculties"/>
        <s v="NGOs/helplines"/>
        <s v="Online complaint portals"/>
        <s v="Others"/>
      </sharedItems>
    </cacheField>
    <cacheField name="Channel_Discovery_Method" numFmtId="0">
      <sharedItems/>
    </cacheField>
    <cacheField name="Social Media Platform" numFmtId="0">
      <sharedItems count="5">
        <s v="WhatsApp"/>
        <s v="Twitter(X)"/>
        <s v="Instagram"/>
        <s v="TikTok"/>
        <s v="Facebook"/>
      </sharedItems>
    </cacheField>
    <cacheField name="Exposure to sexual awareness" numFmtId="0">
      <sharedItems count="3">
        <s v="No"/>
        <s v="Yes"/>
        <s v="Unsure"/>
      </sharedItems>
    </cacheField>
    <cacheField name="Awareness_Platform" numFmtId="0">
      <sharedItems/>
    </cacheField>
    <cacheField name="University_Communication_Clarity" numFmtId="0">
      <sharedItems count="5">
        <s v="Very clearly"/>
        <s v="Neutral"/>
        <s v="Unclearly"/>
        <s v="Clearly"/>
        <s v="Very unclearly"/>
      </sharedItems>
    </cacheField>
    <cacheField name="Official_Social_Media_Awareness_effectiveness" numFmtId="0">
      <sharedItems/>
    </cacheField>
    <cacheField name="Reporting_Channel_Willingness" numFmtId="0">
      <sharedItems count="3">
        <s v="Yes"/>
        <s v="Not sure"/>
        <s v="No"/>
      </sharedItems>
    </cacheField>
    <cacheField name="Reporting_Channel_Confidence" numFmtId="0">
      <sharedItems/>
    </cacheField>
    <cacheField name="Can_official_Channel_Encourage_Students?" numFmtId="0">
      <sharedItems count="3">
        <s v="Yes"/>
        <s v="Not sure"/>
        <s v="No"/>
      </sharedItems>
    </cacheField>
    <cacheField name="Reporting_Information_Adequacy" numFmtId="0">
      <sharedItems/>
    </cacheField>
    <cacheField name="Online_Search_For_Reporting_Info" numFmtId="0">
      <sharedItems/>
    </cacheField>
    <cacheField name="Reporting_information_Trust" numFmtId="0">
      <sharedItems/>
    </cacheField>
    <cacheField name="Anonymity_Influence" numFmtId="0">
      <sharedItems count="3">
        <s v="Yes"/>
        <s v="Not sure"/>
        <s v="No"/>
      </sharedItems>
    </cacheField>
    <cacheField name="School_Awareness_Content_Engagement" numFmtId="0">
      <sharedItems/>
    </cacheField>
  </cacheFields>
  <extLst>
    <ext xmlns:x14="http://schemas.microsoft.com/office/spreadsheetml/2009/9/main" uri="{725AE2AE-9491-48be-B2B4-4EB974FC3084}">
      <x14:pivotCacheDefinition pivotCacheId="1893367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20 -23"/>
    <x v="0"/>
    <x v="0"/>
    <x v="0"/>
    <x v="0"/>
    <s v="Social media"/>
    <x v="0"/>
    <x v="0"/>
    <s v="I have not seen any"/>
    <x v="0"/>
    <s v="Very effective"/>
    <x v="0"/>
    <s v="Very comfortable"/>
    <x v="0"/>
    <s v="Yes"/>
    <s v="No"/>
    <s v="Very trustworthy"/>
    <x v="0"/>
    <s v="Yes"/>
  </r>
  <r>
    <x v="1"/>
    <s v="24 -27"/>
    <x v="1"/>
    <x v="1"/>
    <x v="1"/>
    <x v="0"/>
    <s v="Social media"/>
    <x v="0"/>
    <x v="0"/>
    <s v="WhatsApp"/>
    <x v="1"/>
    <s v="Very effective"/>
    <x v="0"/>
    <s v="Comfortable"/>
    <x v="0"/>
    <s v="Yes"/>
    <s v="Yes"/>
    <s v="Very trustworthy"/>
    <x v="0"/>
    <s v="Yes"/>
  </r>
  <r>
    <x v="0"/>
    <s v="20 -23"/>
    <x v="0"/>
    <x v="1"/>
    <x v="2"/>
    <x v="0"/>
    <s v="Lecturers"/>
    <x v="0"/>
    <x v="1"/>
    <s v="Tik Tok"/>
    <x v="2"/>
    <s v="Ineffective"/>
    <x v="0"/>
    <s v="Comfortable"/>
    <x v="0"/>
    <s v="No"/>
    <s v="No"/>
    <s v="Neutral"/>
    <x v="0"/>
    <s v="No"/>
  </r>
  <r>
    <x v="1"/>
    <s v="20 -23"/>
    <x v="2"/>
    <x v="1"/>
    <x v="1"/>
    <x v="1"/>
    <s v="Social media"/>
    <x v="1"/>
    <x v="0"/>
    <s v="Facebook"/>
    <x v="2"/>
    <s v="Effective"/>
    <x v="0"/>
    <s v="Very comfortable"/>
    <x v="0"/>
    <s v="No"/>
    <s v="No"/>
    <s v="Neutral"/>
    <x v="0"/>
    <s v="No"/>
  </r>
  <r>
    <x v="0"/>
    <s v="20 -23"/>
    <x v="3"/>
    <x v="0"/>
    <x v="1"/>
    <x v="0"/>
    <s v="Friends/peers"/>
    <x v="0"/>
    <x v="0"/>
    <s v="Twitter (X)"/>
    <x v="1"/>
    <s v="Very effective"/>
    <x v="0"/>
    <s v="Very comfortable"/>
    <x v="0"/>
    <s v="No"/>
    <s v="No"/>
    <s v="Trustworthy"/>
    <x v="0"/>
    <s v="No"/>
  </r>
  <r>
    <x v="0"/>
    <s v="20 -23"/>
    <x v="2"/>
    <x v="1"/>
    <x v="2"/>
    <x v="2"/>
    <s v="School orientation"/>
    <x v="2"/>
    <x v="1"/>
    <s v="Instagram"/>
    <x v="0"/>
    <s v="Very effective"/>
    <x v="0"/>
    <s v="Comfortable"/>
    <x v="1"/>
    <s v="Yes"/>
    <s v="No"/>
    <s v="Very trustworthy"/>
    <x v="0"/>
    <s v="Yes"/>
  </r>
  <r>
    <x v="0"/>
    <s v="24 -27"/>
    <x v="1"/>
    <x v="1"/>
    <x v="2"/>
    <x v="2"/>
    <s v="Friends/peers"/>
    <x v="0"/>
    <x v="1"/>
    <s v="Tik Tok"/>
    <x v="1"/>
    <s v="Neutral"/>
    <x v="0"/>
    <s v="Comfortable"/>
    <x v="0"/>
    <s v="Yes"/>
    <s v="Yes"/>
    <s v="Very trustworthy"/>
    <x v="0"/>
    <s v="Yes"/>
  </r>
  <r>
    <x v="1"/>
    <s v="20 -23"/>
    <x v="1"/>
    <x v="0"/>
    <x v="1"/>
    <x v="1"/>
    <s v="Social media"/>
    <x v="1"/>
    <x v="0"/>
    <s v="I have not seen any"/>
    <x v="2"/>
    <s v="Neutral"/>
    <x v="1"/>
    <s v="Neutral"/>
    <x v="0"/>
    <s v="No"/>
    <s v="No"/>
    <s v="Neutral"/>
    <x v="1"/>
    <s v="No"/>
  </r>
  <r>
    <x v="0"/>
    <s v="20 -23"/>
    <x v="2"/>
    <x v="1"/>
    <x v="2"/>
    <x v="3"/>
    <s v="School orientation"/>
    <x v="0"/>
    <x v="1"/>
    <s v="Instagram"/>
    <x v="1"/>
    <s v="Neutral"/>
    <x v="0"/>
    <s v="Neutral"/>
    <x v="0"/>
    <s v="Yes"/>
    <s v="Yes"/>
    <s v="Neutral"/>
    <x v="0"/>
    <s v="Yes"/>
  </r>
  <r>
    <x v="0"/>
    <s v="16 -19"/>
    <x v="0"/>
    <x v="1"/>
    <x v="2"/>
    <x v="4"/>
    <s v="Social media"/>
    <x v="2"/>
    <x v="1"/>
    <s v="Tik Tok"/>
    <x v="3"/>
    <s v="Ineffective"/>
    <x v="1"/>
    <s v="Neutral"/>
    <x v="0"/>
    <s v="No"/>
    <s v="No"/>
    <s v="Neutral"/>
    <x v="0"/>
    <s v="Yes"/>
  </r>
  <r>
    <x v="0"/>
    <s v="20 -23"/>
    <x v="2"/>
    <x v="1"/>
    <x v="2"/>
    <x v="5"/>
    <s v="Social media"/>
    <x v="3"/>
    <x v="1"/>
    <s v="Tik Tok"/>
    <x v="1"/>
    <s v="Effective"/>
    <x v="0"/>
    <s v="Neutral"/>
    <x v="0"/>
    <s v="Yes"/>
    <s v="No"/>
    <s v="Neutral"/>
    <x v="0"/>
    <s v="Yes"/>
  </r>
  <r>
    <x v="0"/>
    <s v="20 -23"/>
    <x v="3"/>
    <x v="0"/>
    <x v="3"/>
    <x v="2"/>
    <s v="Social media"/>
    <x v="0"/>
    <x v="1"/>
    <s v="WhatsApp"/>
    <x v="0"/>
    <s v="Very effective"/>
    <x v="0"/>
    <s v="Very comfortable"/>
    <x v="0"/>
    <s v="Yes"/>
    <s v="No"/>
    <s v="Very trustworthy"/>
    <x v="0"/>
    <s v="Yes"/>
  </r>
  <r>
    <x v="0"/>
    <s v="28 and above"/>
    <x v="1"/>
    <x v="1"/>
    <x v="2"/>
    <x v="3"/>
    <s v="Friends/peers"/>
    <x v="0"/>
    <x v="0"/>
    <s v="I have not seen any"/>
    <x v="1"/>
    <s v="Ineffective"/>
    <x v="1"/>
    <s v="Uncomfortable"/>
    <x v="0"/>
    <s v="No"/>
    <s v="Yes"/>
    <s v="Untrustworthy"/>
    <x v="0"/>
    <s v="No"/>
  </r>
  <r>
    <x v="1"/>
    <s v="20 -23"/>
    <x v="3"/>
    <x v="1"/>
    <x v="0"/>
    <x v="2"/>
    <s v="Social media"/>
    <x v="4"/>
    <x v="1"/>
    <s v="Twitter (X)"/>
    <x v="3"/>
    <s v="Effective"/>
    <x v="2"/>
    <s v="Comfortable"/>
    <x v="2"/>
    <s v="Yes"/>
    <s v="Yes"/>
    <s v="Trustworthy"/>
    <x v="2"/>
    <s v="Yes"/>
  </r>
  <r>
    <x v="1"/>
    <s v="24 -27"/>
    <x v="2"/>
    <x v="0"/>
    <x v="4"/>
    <x v="1"/>
    <s v="Friends/peers"/>
    <x v="0"/>
    <x v="0"/>
    <s v="I have not seen any"/>
    <x v="4"/>
    <s v="Very ineffective"/>
    <x v="1"/>
    <s v="Neutral"/>
    <x v="0"/>
    <s v="No"/>
    <s v="No"/>
    <s v="Trustworthy"/>
    <x v="0"/>
    <s v="No"/>
  </r>
  <r>
    <x v="0"/>
    <s v="20 -23"/>
    <x v="2"/>
    <x v="0"/>
    <x v="2"/>
    <x v="0"/>
    <s v="School orientation"/>
    <x v="0"/>
    <x v="0"/>
    <s v="I have not seen any"/>
    <x v="0"/>
    <s v="Effective"/>
    <x v="0"/>
    <s v="Comfortable"/>
    <x v="0"/>
    <s v="Yes"/>
    <s v="Yes"/>
    <s v="Neutral"/>
    <x v="0"/>
    <s v="No"/>
  </r>
  <r>
    <x v="0"/>
    <s v="20 -23"/>
    <x v="2"/>
    <x v="0"/>
    <x v="1"/>
    <x v="1"/>
    <s v="Lecturers"/>
    <x v="0"/>
    <x v="0"/>
    <s v="I have not seen any"/>
    <x v="1"/>
    <s v="Ineffective"/>
    <x v="0"/>
    <s v="Neutral"/>
    <x v="0"/>
    <s v="Not sure"/>
    <s v="No"/>
    <s v="Neutral"/>
    <x v="0"/>
    <s v="No"/>
  </r>
  <r>
    <x v="1"/>
    <s v="24 -27"/>
    <x v="2"/>
    <x v="0"/>
    <x v="1"/>
    <x v="0"/>
    <s v="Lecturers"/>
    <x v="1"/>
    <x v="0"/>
    <s v="I have not seen any"/>
    <x v="2"/>
    <s v="Neutral"/>
    <x v="0"/>
    <s v="Comfortable"/>
    <x v="0"/>
    <s v="No"/>
    <s v="No"/>
    <s v="Neutral"/>
    <x v="0"/>
    <s v="No"/>
  </r>
  <r>
    <x v="1"/>
    <s v="20 -23"/>
    <x v="2"/>
    <x v="0"/>
    <x v="4"/>
    <x v="4"/>
    <s v="Friends/peers"/>
    <x v="0"/>
    <x v="1"/>
    <s v="WhatsApp"/>
    <x v="3"/>
    <s v="Very effective"/>
    <x v="0"/>
    <s v="Very comfortable"/>
    <x v="0"/>
    <s v="No"/>
    <s v="Yes"/>
    <s v="Very trustworthy"/>
    <x v="1"/>
    <s v="Yes"/>
  </r>
  <r>
    <x v="1"/>
    <s v="28 and above"/>
    <x v="2"/>
    <x v="1"/>
    <x v="3"/>
    <x v="0"/>
    <s v="Social media &amp; Friends/peers"/>
    <x v="0"/>
    <x v="0"/>
    <s v="I have not seen any"/>
    <x v="3"/>
    <s v="Ineffective"/>
    <x v="0"/>
    <s v="Very comfortable"/>
    <x v="0"/>
    <s v="No"/>
    <s v="Yes"/>
    <s v="Neutral"/>
    <x v="0"/>
    <s v="Yes"/>
  </r>
  <r>
    <x v="1"/>
    <s v="20 -23"/>
    <x v="2"/>
    <x v="1"/>
    <x v="2"/>
    <x v="5"/>
    <s v="Social media"/>
    <x v="1"/>
    <x v="0"/>
    <s v="I have not seen any"/>
    <x v="3"/>
    <s v="Neutral"/>
    <x v="0"/>
    <s v="Comfortable"/>
    <x v="0"/>
    <s v="Yes"/>
    <s v="No"/>
    <s v="Neutral"/>
    <x v="0"/>
    <s v="No"/>
  </r>
  <r>
    <x v="0"/>
    <s v="24 -27"/>
    <x v="4"/>
    <x v="1"/>
    <x v="2"/>
    <x v="4"/>
    <s v="Social media"/>
    <x v="3"/>
    <x v="1"/>
    <s v="WhatsApp"/>
    <x v="3"/>
    <s v="Effective"/>
    <x v="0"/>
    <s v="Very comfortable"/>
    <x v="0"/>
    <s v="No"/>
    <s v="Yes"/>
    <s v="Trustworthy"/>
    <x v="0"/>
    <s v="Yes"/>
  </r>
  <r>
    <x v="0"/>
    <s v="20 -23"/>
    <x v="2"/>
    <x v="1"/>
    <x v="2"/>
    <x v="5"/>
    <s v="Social media"/>
    <x v="3"/>
    <x v="0"/>
    <s v="I have not seen any"/>
    <x v="1"/>
    <s v="Neutral"/>
    <x v="0"/>
    <s v="Neutral"/>
    <x v="1"/>
    <s v="Not sure"/>
    <s v="No"/>
    <s v="Neutral"/>
    <x v="0"/>
    <s v="No"/>
  </r>
  <r>
    <x v="1"/>
    <s v="24 -27"/>
    <x v="1"/>
    <x v="0"/>
    <x v="2"/>
    <x v="0"/>
    <s v="Level advisers"/>
    <x v="4"/>
    <x v="0"/>
    <s v="I have not seen any"/>
    <x v="1"/>
    <s v="Neutral"/>
    <x v="0"/>
    <s v="Comfortable"/>
    <x v="0"/>
    <s v="No"/>
    <s v="No"/>
    <s v="Neutral"/>
    <x v="0"/>
    <s v="No"/>
  </r>
  <r>
    <x v="0"/>
    <s v="16 -19"/>
    <x v="0"/>
    <x v="0"/>
    <x v="2"/>
    <x v="3"/>
    <s v="Social media"/>
    <x v="0"/>
    <x v="0"/>
    <s v="I have not seen any"/>
    <x v="1"/>
    <s v="Effective"/>
    <x v="0"/>
    <s v="Comfortable"/>
    <x v="0"/>
    <s v="No"/>
    <s v="No"/>
    <s v="Trustworthy"/>
    <x v="0"/>
    <s v="No"/>
  </r>
  <r>
    <x v="0"/>
    <s v="24 -27"/>
    <x v="2"/>
    <x v="1"/>
    <x v="2"/>
    <x v="4"/>
    <s v="Social media"/>
    <x v="2"/>
    <x v="0"/>
    <s v="I have not seen any"/>
    <x v="0"/>
    <s v="Very effective"/>
    <x v="2"/>
    <s v="Very uncomfortable"/>
    <x v="0"/>
    <s v="Not sure"/>
    <s v="Yes"/>
    <s v="Very trustworthy"/>
    <x v="1"/>
    <s v="No"/>
  </r>
  <r>
    <x v="1"/>
    <s v="16 -19"/>
    <x v="4"/>
    <x v="0"/>
    <x v="3"/>
    <x v="0"/>
    <s v="Social media"/>
    <x v="2"/>
    <x v="0"/>
    <s v="I have not seen any"/>
    <x v="3"/>
    <s v="Effective"/>
    <x v="0"/>
    <s v="Comfortable"/>
    <x v="0"/>
    <s v="Yes"/>
    <s v="No"/>
    <s v="Trustworthy"/>
    <x v="2"/>
    <s v="No"/>
  </r>
  <r>
    <x v="1"/>
    <s v="24 -27"/>
    <x v="2"/>
    <x v="1"/>
    <x v="3"/>
    <x v="2"/>
    <s v="Friends/peers"/>
    <x v="0"/>
    <x v="1"/>
    <s v="Tik Tok"/>
    <x v="3"/>
    <s v="Neutral"/>
    <x v="0"/>
    <s v="Very comfortable"/>
    <x v="0"/>
    <s v="Not sure"/>
    <s v="No"/>
    <s v="Trustworthy"/>
    <x v="0"/>
    <s v="Yes"/>
  </r>
  <r>
    <x v="0"/>
    <s v="24 -27"/>
    <x v="1"/>
    <x v="1"/>
    <x v="2"/>
    <x v="4"/>
    <s v="Social media"/>
    <x v="0"/>
    <x v="0"/>
    <s v="I have not seen any"/>
    <x v="1"/>
    <s v="Neutral"/>
    <x v="0"/>
    <s v="Very comfortable"/>
    <x v="0"/>
    <s v="No"/>
    <s v="No"/>
    <s v="Trustworthy"/>
    <x v="0"/>
    <s v="Yes"/>
  </r>
  <r>
    <x v="0"/>
    <s v="16 -19"/>
    <x v="2"/>
    <x v="1"/>
    <x v="2"/>
    <x v="0"/>
    <s v="Friends/peers"/>
    <x v="0"/>
    <x v="0"/>
    <s v="I have not seen any"/>
    <x v="1"/>
    <s v="Neutral"/>
    <x v="0"/>
    <s v="Comfortable"/>
    <x v="0"/>
    <s v="No"/>
    <s v="No"/>
    <s v="Neutral"/>
    <x v="2"/>
    <s v="No"/>
  </r>
  <r>
    <x v="1"/>
    <s v="28 and above"/>
    <x v="1"/>
    <x v="1"/>
    <x v="0"/>
    <x v="2"/>
    <s v="School orientation"/>
    <x v="0"/>
    <x v="1"/>
    <s v="Instagram"/>
    <x v="0"/>
    <s v="Very effective"/>
    <x v="0"/>
    <s v="Very comfortable"/>
    <x v="0"/>
    <s v="Yes"/>
    <s v="Yes"/>
    <s v="Very trustworthy"/>
    <x v="0"/>
    <s v="Yes"/>
  </r>
  <r>
    <x v="1"/>
    <s v="20 -23"/>
    <x v="0"/>
    <x v="1"/>
    <x v="3"/>
    <x v="0"/>
    <s v="Social media"/>
    <x v="0"/>
    <x v="0"/>
    <s v="I have not seen any"/>
    <x v="2"/>
    <s v="Very effective"/>
    <x v="0"/>
    <s v="Comfortable"/>
    <x v="0"/>
    <s v="Not sure"/>
    <s v="No"/>
    <s v="Very untrustworthy"/>
    <x v="1"/>
    <s v="Yes"/>
  </r>
  <r>
    <x v="1"/>
    <s v="24 -27"/>
    <x v="2"/>
    <x v="1"/>
    <x v="2"/>
    <x v="1"/>
    <s v="Friends/peers"/>
    <x v="0"/>
    <x v="1"/>
    <s v="WhatsApp"/>
    <x v="1"/>
    <s v="Ineffective"/>
    <x v="0"/>
    <s v="Uncomfortable"/>
    <x v="2"/>
    <s v="No"/>
    <s v="No"/>
    <s v="Neutral"/>
    <x v="0"/>
    <s v="No"/>
  </r>
  <r>
    <x v="1"/>
    <s v="20 -23"/>
    <x v="0"/>
    <x v="0"/>
    <x v="2"/>
    <x v="0"/>
    <s v="Social media &amp; Friends/peers"/>
    <x v="2"/>
    <x v="0"/>
    <s v="I have not seen any"/>
    <x v="1"/>
    <s v="Neutral"/>
    <x v="0"/>
    <s v="Neutral"/>
    <x v="0"/>
    <s v="Not sure"/>
    <s v="No"/>
    <s v="Neutral"/>
    <x v="0"/>
    <s v="No"/>
  </r>
  <r>
    <x v="0"/>
    <s v="20 -23"/>
    <x v="2"/>
    <x v="1"/>
    <x v="2"/>
    <x v="4"/>
    <s v="Social media"/>
    <x v="0"/>
    <x v="0"/>
    <s v="I have not seen any"/>
    <x v="1"/>
    <s v="Neutral"/>
    <x v="1"/>
    <s v="Uncomfortable"/>
    <x v="1"/>
    <s v="No"/>
    <s v="No"/>
    <s v="Untrustworthy"/>
    <x v="2"/>
    <s v="No"/>
  </r>
  <r>
    <x v="0"/>
    <s v="20 -23"/>
    <x v="2"/>
    <x v="0"/>
    <x v="2"/>
    <x v="1"/>
    <s v="Friends/peers"/>
    <x v="0"/>
    <x v="0"/>
    <s v="I have not seen any"/>
    <x v="1"/>
    <s v="Neutral"/>
    <x v="0"/>
    <s v="Neutral"/>
    <x v="1"/>
    <s v="No"/>
    <s v="No"/>
    <s v="Neutral"/>
    <x v="0"/>
    <s v="No"/>
  </r>
  <r>
    <x v="0"/>
    <s v="20 -23"/>
    <x v="2"/>
    <x v="1"/>
    <x v="2"/>
    <x v="4"/>
    <s v="Friends/peers"/>
    <x v="0"/>
    <x v="0"/>
    <s v="I have not seen any"/>
    <x v="3"/>
    <s v="Effective"/>
    <x v="0"/>
    <s v="Comfortable"/>
    <x v="0"/>
    <s v="No"/>
    <s v="No"/>
    <s v="Trustworthy"/>
    <x v="0"/>
    <s v="No"/>
  </r>
  <r>
    <x v="0"/>
    <s v="20 -23"/>
    <x v="0"/>
    <x v="0"/>
    <x v="2"/>
    <x v="0"/>
    <s v="Friends/peers"/>
    <x v="1"/>
    <x v="0"/>
    <s v="I have not seen any"/>
    <x v="2"/>
    <s v="Ineffective"/>
    <x v="0"/>
    <s v="Neutral"/>
    <x v="0"/>
    <s v="Yes"/>
    <s v="No"/>
    <s v="Neutral"/>
    <x v="0"/>
    <s v="No"/>
  </r>
  <r>
    <x v="0"/>
    <s v="20 -23"/>
    <x v="0"/>
    <x v="1"/>
    <x v="0"/>
    <x v="0"/>
    <s v="Social media"/>
    <x v="0"/>
    <x v="1"/>
    <s v="WhatsApp"/>
    <x v="0"/>
    <s v="Very effective"/>
    <x v="0"/>
    <s v="Very comfortable"/>
    <x v="0"/>
    <s v="Yes"/>
    <s v="Yes"/>
    <s v="Very trustworthy"/>
    <x v="0"/>
    <s v="Yes"/>
  </r>
  <r>
    <x v="1"/>
    <s v="28 and above"/>
    <x v="1"/>
    <x v="1"/>
    <x v="0"/>
    <x v="0"/>
    <s v="School orientation"/>
    <x v="0"/>
    <x v="1"/>
    <s v="WhatsApp"/>
    <x v="0"/>
    <s v="Neutral"/>
    <x v="2"/>
    <s v="Neutral"/>
    <x v="0"/>
    <s v="No"/>
    <s v="No"/>
    <s v="Neutral"/>
    <x v="0"/>
    <s v="Yes"/>
  </r>
  <r>
    <x v="1"/>
    <s v="20 -23"/>
    <x v="3"/>
    <x v="1"/>
    <x v="1"/>
    <x v="1"/>
    <s v="Friends/peers"/>
    <x v="0"/>
    <x v="0"/>
    <s v="WhatsApp"/>
    <x v="1"/>
    <s v="Very effective"/>
    <x v="0"/>
    <s v="Very comfortable"/>
    <x v="0"/>
    <s v="No"/>
    <s v="Yes"/>
    <s v="Very trustworthy"/>
    <x v="0"/>
    <s v="Yes"/>
  </r>
  <r>
    <x v="0"/>
    <s v="20 -23"/>
    <x v="4"/>
    <x v="0"/>
    <x v="4"/>
    <x v="1"/>
    <s v="Social media"/>
    <x v="2"/>
    <x v="0"/>
    <s v="I have not seen any"/>
    <x v="1"/>
    <s v="Effective"/>
    <x v="1"/>
    <s v="Comfortable"/>
    <x v="0"/>
    <s v="Not sure"/>
    <s v="No"/>
    <s v="Neutral"/>
    <x v="0"/>
    <s v="No"/>
  </r>
  <r>
    <x v="1"/>
    <s v="24 -27"/>
    <x v="2"/>
    <x v="1"/>
    <x v="2"/>
    <x v="2"/>
    <s v="School orientation"/>
    <x v="0"/>
    <x v="1"/>
    <s v="WhatsApp"/>
    <x v="0"/>
    <s v="Effective"/>
    <x v="0"/>
    <s v="Neutral"/>
    <x v="0"/>
    <s v="Not sure"/>
    <s v="No"/>
    <s v="Neutral"/>
    <x v="1"/>
    <s v="No"/>
  </r>
  <r>
    <x v="0"/>
    <s v="16 -19"/>
    <x v="0"/>
    <x v="0"/>
    <x v="3"/>
    <x v="0"/>
    <s v="Social media"/>
    <x v="3"/>
    <x v="0"/>
    <s v="I have not seen any"/>
    <x v="1"/>
    <s v="Neutral"/>
    <x v="1"/>
    <s v="Comfortable"/>
    <x v="0"/>
    <s v="Not sure"/>
    <s v="No"/>
    <s v="Trustworthy"/>
    <x v="0"/>
    <s v="No"/>
  </r>
  <r>
    <x v="1"/>
    <s v="28 and above"/>
    <x v="0"/>
    <x v="1"/>
    <x v="4"/>
    <x v="0"/>
    <s v="Lecturers"/>
    <x v="3"/>
    <x v="0"/>
    <s v="I have not seen any"/>
    <x v="1"/>
    <s v="Neutral"/>
    <x v="0"/>
    <s v="Comfortable"/>
    <x v="1"/>
    <s v="No"/>
    <s v="No"/>
    <s v="Neutral"/>
    <x v="0"/>
    <s v="No"/>
  </r>
  <r>
    <x v="0"/>
    <s v="20 -23"/>
    <x v="0"/>
    <x v="0"/>
    <x v="2"/>
    <x v="1"/>
    <s v="Social media"/>
    <x v="3"/>
    <x v="1"/>
    <s v="WhatsApp"/>
    <x v="1"/>
    <s v="Neutral"/>
    <x v="0"/>
    <s v="Comfortable"/>
    <x v="0"/>
    <s v="Not sure"/>
    <s v="No"/>
    <s v="Neutral"/>
    <x v="0"/>
    <s v="No"/>
  </r>
  <r>
    <x v="0"/>
    <s v="16 -19"/>
    <x v="0"/>
    <x v="0"/>
    <x v="4"/>
    <x v="1"/>
    <s v="Social media"/>
    <x v="0"/>
    <x v="1"/>
    <s v="WhatsApp"/>
    <x v="1"/>
    <s v="Ineffective"/>
    <x v="0"/>
    <s v="Comfortable"/>
    <x v="0"/>
    <s v="Yes"/>
    <s v="No"/>
    <s v="Neutral"/>
    <x v="0"/>
    <s v="No"/>
  </r>
  <r>
    <x v="0"/>
    <s v="28 and above"/>
    <x v="3"/>
    <x v="1"/>
    <x v="3"/>
    <x v="5"/>
    <s v="Social media"/>
    <x v="4"/>
    <x v="1"/>
    <s v="Instagram"/>
    <x v="3"/>
    <s v="Neutral"/>
    <x v="0"/>
    <s v="Very comfortable"/>
    <x v="0"/>
    <s v="Yes"/>
    <s v="Yes"/>
    <s v="Trustworthy"/>
    <x v="0"/>
    <s v="Yes"/>
  </r>
  <r>
    <x v="1"/>
    <s v="16 -19"/>
    <x v="0"/>
    <x v="0"/>
    <x v="1"/>
    <x v="1"/>
    <s v="Friends/peers"/>
    <x v="3"/>
    <x v="0"/>
    <s v="I have not seen any"/>
    <x v="0"/>
    <s v="Very effective"/>
    <x v="1"/>
    <s v="Neutral"/>
    <x v="2"/>
    <s v="Not sure"/>
    <s v="No"/>
    <s v="Trustworthy"/>
    <x v="1"/>
    <s v="No"/>
  </r>
  <r>
    <x v="1"/>
    <s v="20 -23"/>
    <x v="4"/>
    <x v="1"/>
    <x v="1"/>
    <x v="1"/>
    <s v="Social media"/>
    <x v="0"/>
    <x v="1"/>
    <s v="I have not seen any"/>
    <x v="0"/>
    <s v="Very effective"/>
    <x v="1"/>
    <s v="Very comfortable"/>
    <x v="0"/>
    <s v="Yes"/>
    <s v="No"/>
    <s v="Trustworthy"/>
    <x v="0"/>
    <s v="No"/>
  </r>
  <r>
    <x v="1"/>
    <s v="24 -27"/>
    <x v="0"/>
    <x v="0"/>
    <x v="0"/>
    <x v="3"/>
    <s v="School orientation &amp; Lecturers"/>
    <x v="0"/>
    <x v="0"/>
    <s v="I have not seen any"/>
    <x v="4"/>
    <s v="Very ineffective"/>
    <x v="0"/>
    <s v="Very comfortable"/>
    <x v="0"/>
    <s v="Not sure"/>
    <s v="No"/>
    <s v="Very untrustworthy"/>
    <x v="0"/>
    <s v="No"/>
  </r>
  <r>
    <x v="1"/>
    <s v="20 -23"/>
    <x v="0"/>
    <x v="1"/>
    <x v="3"/>
    <x v="0"/>
    <s v="School orientation"/>
    <x v="3"/>
    <x v="2"/>
    <s v="I have not seen any"/>
    <x v="3"/>
    <s v="Effective"/>
    <x v="0"/>
    <s v="Very comfortable"/>
    <x v="0"/>
    <s v="Yes"/>
    <s v="No"/>
    <s v="Very trustworthy"/>
    <x v="2"/>
    <s v="No"/>
  </r>
  <r>
    <x v="1"/>
    <s v="16 -19"/>
    <x v="0"/>
    <x v="1"/>
    <x v="0"/>
    <x v="2"/>
    <s v="Social media"/>
    <x v="0"/>
    <x v="1"/>
    <s v="WhatsApp"/>
    <x v="0"/>
    <s v="Very effective"/>
    <x v="0"/>
    <s v="Very comfortable"/>
    <x v="0"/>
    <s v="Yes"/>
    <s v="No"/>
    <s v="Very trustworthy"/>
    <x v="0"/>
    <s v="No"/>
  </r>
  <r>
    <x v="1"/>
    <s v="20 -23"/>
    <x v="0"/>
    <x v="0"/>
    <x v="4"/>
    <x v="1"/>
    <s v="Social media"/>
    <x v="0"/>
    <x v="0"/>
    <s v="I have not seen any"/>
    <x v="1"/>
    <s v="Neutral"/>
    <x v="0"/>
    <s v="Comfortable"/>
    <x v="0"/>
    <s v="Not sure"/>
    <s v="No"/>
    <s v="Neutral"/>
    <x v="0"/>
    <s v="No"/>
  </r>
  <r>
    <x v="1"/>
    <s v="20 -23"/>
    <x v="0"/>
    <x v="0"/>
    <x v="2"/>
    <x v="4"/>
    <s v="Friends/peers"/>
    <x v="0"/>
    <x v="0"/>
    <s v="I have not seen any"/>
    <x v="3"/>
    <s v="Effective"/>
    <x v="0"/>
    <s v="Very comfortable"/>
    <x v="0"/>
    <s v="Not sure"/>
    <s v="No"/>
    <s v="Neutral"/>
    <x v="0"/>
    <s v="No"/>
  </r>
  <r>
    <x v="1"/>
    <s v="16 -19"/>
    <x v="0"/>
    <x v="0"/>
    <x v="2"/>
    <x v="0"/>
    <s v="School orientation"/>
    <x v="0"/>
    <x v="0"/>
    <s v="I have not seen any"/>
    <x v="0"/>
    <s v="Very effective"/>
    <x v="1"/>
    <s v="Neutral"/>
    <x v="0"/>
    <s v="Not sure"/>
    <s v="No"/>
    <s v="Neutral"/>
    <x v="1"/>
    <s v="No"/>
  </r>
  <r>
    <x v="0"/>
    <s v="16 -19"/>
    <x v="0"/>
    <x v="0"/>
    <x v="2"/>
    <x v="1"/>
    <s v="School orientation"/>
    <x v="0"/>
    <x v="0"/>
    <s v="I have not seen any"/>
    <x v="0"/>
    <s v="Very effective"/>
    <x v="0"/>
    <s v="Comfortable"/>
    <x v="0"/>
    <s v="Not sure"/>
    <s v="No"/>
    <s v="Trustworthy"/>
    <x v="0"/>
    <s v="No"/>
  </r>
  <r>
    <x v="0"/>
    <s v="20 -23"/>
    <x v="0"/>
    <x v="0"/>
    <x v="1"/>
    <x v="0"/>
    <s v="Social media"/>
    <x v="0"/>
    <x v="0"/>
    <s v="I have not seen any"/>
    <x v="0"/>
    <s v="Very effective"/>
    <x v="0"/>
    <s v="Comfortable"/>
    <x v="0"/>
    <s v="Yes"/>
    <s v="No"/>
    <s v="Neutral"/>
    <x v="2"/>
    <s v="No"/>
  </r>
  <r>
    <x v="1"/>
    <s v="20 -23"/>
    <x v="0"/>
    <x v="0"/>
    <x v="1"/>
    <x v="0"/>
    <s v="Lecturers"/>
    <x v="0"/>
    <x v="0"/>
    <s v="I have not seen any"/>
    <x v="0"/>
    <s v="Very effective"/>
    <x v="0"/>
    <s v="Comfortable"/>
    <x v="0"/>
    <s v="Yes"/>
    <s v="No"/>
    <s v="Trustworthy"/>
    <x v="0"/>
    <s v="Yes"/>
  </r>
  <r>
    <x v="1"/>
    <s v="20 -23"/>
    <x v="0"/>
    <x v="0"/>
    <x v="1"/>
    <x v="1"/>
    <s v="School orientation"/>
    <x v="0"/>
    <x v="0"/>
    <s v="I have not seen any"/>
    <x v="1"/>
    <s v="Neutral"/>
    <x v="0"/>
    <s v="Neutral"/>
    <x v="0"/>
    <s v="Not sure"/>
    <s v="No"/>
    <s v="Neutral"/>
    <x v="1"/>
    <s v="No"/>
  </r>
  <r>
    <x v="0"/>
    <s v="16 -19"/>
    <x v="4"/>
    <x v="1"/>
    <x v="0"/>
    <x v="0"/>
    <s v="Social media"/>
    <x v="0"/>
    <x v="1"/>
    <s v="WhatsApp"/>
    <x v="0"/>
    <s v="Effective"/>
    <x v="0"/>
    <s v="Comfortable"/>
    <x v="0"/>
    <s v="Not sure"/>
    <s v="Yes"/>
    <s v="Trustworthy"/>
    <x v="1"/>
    <s v="Yes"/>
  </r>
  <r>
    <x v="1"/>
    <s v="16 -19"/>
    <x v="0"/>
    <x v="0"/>
    <x v="2"/>
    <x v="4"/>
    <s v="Social media"/>
    <x v="0"/>
    <x v="0"/>
    <s v="I have not seen any"/>
    <x v="0"/>
    <s v="Very effective"/>
    <x v="0"/>
    <s v="Comfortable"/>
    <x v="0"/>
    <s v="No"/>
    <s v="No"/>
    <s v="Very trustworthy"/>
    <x v="0"/>
    <s v="No"/>
  </r>
  <r>
    <x v="0"/>
    <s v="16 -19"/>
    <x v="0"/>
    <x v="0"/>
    <x v="2"/>
    <x v="0"/>
    <s v="School orientation"/>
    <x v="0"/>
    <x v="0"/>
    <s v="I have not seen any"/>
    <x v="3"/>
    <s v="Neutral"/>
    <x v="1"/>
    <s v="Uncomfortable"/>
    <x v="1"/>
    <s v="Not sure"/>
    <s v="No"/>
    <s v="Neutral"/>
    <x v="1"/>
    <s v="No"/>
  </r>
  <r>
    <x v="0"/>
    <s v="20 -23"/>
    <x v="0"/>
    <x v="0"/>
    <x v="2"/>
    <x v="0"/>
    <s v="School orientation"/>
    <x v="0"/>
    <x v="1"/>
    <s v="Instagram"/>
    <x v="1"/>
    <s v="Effective"/>
    <x v="2"/>
    <s v="Neutral"/>
    <x v="2"/>
    <s v="Yes"/>
    <s v="No"/>
    <s v="Very trustworthy"/>
    <x v="0"/>
    <s v="Yes"/>
  </r>
  <r>
    <x v="1"/>
    <s v="24 -27"/>
    <x v="0"/>
    <x v="0"/>
    <x v="4"/>
    <x v="1"/>
    <s v="Friends/peers"/>
    <x v="0"/>
    <x v="0"/>
    <s v="I have not seen any"/>
    <x v="1"/>
    <s v="Neutral"/>
    <x v="1"/>
    <s v="Neutral"/>
    <x v="1"/>
    <s v="Not sure"/>
    <s v="No"/>
    <s v="Neutral"/>
    <x v="1"/>
    <s v="No"/>
  </r>
  <r>
    <x v="1"/>
    <s v="16 -19"/>
    <x v="0"/>
    <x v="0"/>
    <x v="2"/>
    <x v="0"/>
    <s v="Lecturers"/>
    <x v="0"/>
    <x v="0"/>
    <s v="I have not seen any"/>
    <x v="0"/>
    <s v="Very effective"/>
    <x v="0"/>
    <s v="Comfortable"/>
    <x v="0"/>
    <s v="Yes"/>
    <s v="No"/>
    <s v="Trustworthy"/>
    <x v="0"/>
    <s v="No"/>
  </r>
  <r>
    <x v="0"/>
    <s v="20 -23"/>
    <x v="0"/>
    <x v="0"/>
    <x v="2"/>
    <x v="0"/>
    <s v="School orientation"/>
    <x v="0"/>
    <x v="0"/>
    <s v="I have not seen any"/>
    <x v="1"/>
    <s v="Very effective"/>
    <x v="0"/>
    <s v="Very comfortable"/>
    <x v="0"/>
    <s v="No"/>
    <s v="No"/>
    <s v="Very trustworthy"/>
    <x v="0"/>
    <s v="No"/>
  </r>
  <r>
    <x v="1"/>
    <s v="20 -23"/>
    <x v="0"/>
    <x v="1"/>
    <x v="2"/>
    <x v="4"/>
    <s v="Social media"/>
    <x v="3"/>
    <x v="0"/>
    <s v="I have not seen any"/>
    <x v="2"/>
    <s v="Effective"/>
    <x v="0"/>
    <s v="Comfortable"/>
    <x v="0"/>
    <s v="Yes"/>
    <s v="No"/>
    <s v="Untrustworthy"/>
    <x v="2"/>
    <s v="No"/>
  </r>
  <r>
    <x v="0"/>
    <s v="16 -19"/>
    <x v="0"/>
    <x v="0"/>
    <x v="4"/>
    <x v="1"/>
    <s v="Lecturers"/>
    <x v="0"/>
    <x v="0"/>
    <s v="I have not seen any"/>
    <x v="1"/>
    <s v="Neutral"/>
    <x v="0"/>
    <s v="Comfortable"/>
    <x v="0"/>
    <s v="Not sure"/>
    <s v="No"/>
    <s v="Neutral"/>
    <x v="0"/>
    <s v="No"/>
  </r>
  <r>
    <x v="1"/>
    <s v="16 -19"/>
    <x v="0"/>
    <x v="0"/>
    <x v="1"/>
    <x v="1"/>
    <s v="Social media"/>
    <x v="3"/>
    <x v="1"/>
    <s v="WhatsApp"/>
    <x v="0"/>
    <s v="Effective"/>
    <x v="1"/>
    <s v="Neutral"/>
    <x v="0"/>
    <s v="Not sure"/>
    <s v="No"/>
    <s v="Neutral"/>
    <x v="2"/>
    <s v="No"/>
  </r>
  <r>
    <x v="2"/>
    <s v="24 -27"/>
    <x v="0"/>
    <x v="0"/>
    <x v="1"/>
    <x v="1"/>
    <s v="Social media"/>
    <x v="0"/>
    <x v="0"/>
    <s v="I have not seen any"/>
    <x v="1"/>
    <s v="Neutral"/>
    <x v="1"/>
    <s v="Uncomfortable"/>
    <x v="0"/>
    <s v="Not sure"/>
    <s v="No"/>
    <s v="Neutral"/>
    <x v="0"/>
    <s v="Yes"/>
  </r>
  <r>
    <x v="1"/>
    <s v="20 -23"/>
    <x v="0"/>
    <x v="0"/>
    <x v="2"/>
    <x v="1"/>
    <s v="Social media"/>
    <x v="0"/>
    <x v="0"/>
    <s v="I have not seen any"/>
    <x v="1"/>
    <s v="Neutral"/>
    <x v="0"/>
    <s v="Comfortable"/>
    <x v="0"/>
    <s v="Yes"/>
    <s v="Yes"/>
    <s v="Very trustworthy"/>
    <x v="0"/>
    <s v="Yes"/>
  </r>
  <r>
    <x v="0"/>
    <s v="20 -23"/>
    <x v="0"/>
    <x v="0"/>
    <x v="1"/>
    <x v="0"/>
    <s v="School orientation"/>
    <x v="2"/>
    <x v="0"/>
    <s v="I have not seen any"/>
    <x v="3"/>
    <s v="Effective"/>
    <x v="0"/>
    <s v="Comfortable"/>
    <x v="0"/>
    <s v="Yes"/>
    <s v="No"/>
    <s v="Trustworthy"/>
    <x v="0"/>
    <s v="No"/>
  </r>
  <r>
    <x v="1"/>
    <s v="16 -19"/>
    <x v="0"/>
    <x v="0"/>
    <x v="1"/>
    <x v="0"/>
    <s v="Friends/peers"/>
    <x v="0"/>
    <x v="0"/>
    <s v="I have not seen any"/>
    <x v="2"/>
    <s v="Very ineffective"/>
    <x v="0"/>
    <s v="Very comfortable"/>
    <x v="0"/>
    <s v="No"/>
    <s v="No"/>
    <s v="Very trustworthy"/>
    <x v="0"/>
    <s v="No"/>
  </r>
  <r>
    <x v="1"/>
    <s v="20 -23"/>
    <x v="0"/>
    <x v="0"/>
    <x v="4"/>
    <x v="1"/>
    <s v="Social media"/>
    <x v="0"/>
    <x v="0"/>
    <s v="I have not seen any"/>
    <x v="3"/>
    <s v="Neutral"/>
    <x v="1"/>
    <s v="Neutral"/>
    <x v="0"/>
    <s v="Not sure"/>
    <s v="No"/>
    <s v="Neutral"/>
    <x v="0"/>
    <s v="No"/>
  </r>
  <r>
    <x v="1"/>
    <s v="20 -23"/>
    <x v="0"/>
    <x v="0"/>
    <x v="2"/>
    <x v="0"/>
    <s v="Social media"/>
    <x v="0"/>
    <x v="0"/>
    <s v="I have not seen any"/>
    <x v="0"/>
    <s v="Very effective"/>
    <x v="0"/>
    <s v="Very comfortable"/>
    <x v="0"/>
    <s v="Yes"/>
    <s v="Yes"/>
    <s v="Trustworthy"/>
    <x v="0"/>
    <s v="No"/>
  </r>
  <r>
    <x v="1"/>
    <s v="16 -19"/>
    <x v="0"/>
    <x v="0"/>
    <x v="2"/>
    <x v="0"/>
    <s v="School orientation &amp; Lecturers"/>
    <x v="0"/>
    <x v="1"/>
    <s v="WhatsApp &amp; Twitter (X)"/>
    <x v="3"/>
    <s v="Effective"/>
    <x v="0"/>
    <s v="Comfortable"/>
    <x v="0"/>
    <s v="Yes"/>
    <s v="No"/>
    <s v="Neutral"/>
    <x v="0"/>
    <s v="No"/>
  </r>
  <r>
    <x v="1"/>
    <s v="16 -19"/>
    <x v="4"/>
    <x v="1"/>
    <x v="2"/>
    <x v="0"/>
    <s v="Social media"/>
    <x v="0"/>
    <x v="0"/>
    <s v="I have not seen any"/>
    <x v="3"/>
    <s v="Neutral"/>
    <x v="0"/>
    <s v="Very comfortable"/>
    <x v="0"/>
    <s v="Not sure"/>
    <s v="No"/>
    <s v="Trustworthy"/>
    <x v="1"/>
    <s v="No"/>
  </r>
  <r>
    <x v="0"/>
    <s v="16 -19"/>
    <x v="0"/>
    <x v="0"/>
    <x v="1"/>
    <x v="0"/>
    <s v="School orientation"/>
    <x v="0"/>
    <x v="0"/>
    <s v="I have not seen any"/>
    <x v="1"/>
    <s v="Neutral"/>
    <x v="0"/>
    <s v="Neutral"/>
    <x v="0"/>
    <s v="Yes"/>
    <s v="No"/>
    <s v="Neutral"/>
    <x v="0"/>
    <s v="No"/>
  </r>
  <r>
    <x v="0"/>
    <s v="16 -19"/>
    <x v="0"/>
    <x v="1"/>
    <x v="3"/>
    <x v="0"/>
    <s v="School orientation"/>
    <x v="0"/>
    <x v="1"/>
    <s v="WhatsApp"/>
    <x v="3"/>
    <s v="Effective"/>
    <x v="0"/>
    <s v="Comfortable"/>
    <x v="0"/>
    <s v="Yes"/>
    <s v="Yes"/>
    <s v="Trustworthy"/>
    <x v="0"/>
    <s v="Yes"/>
  </r>
  <r>
    <x v="1"/>
    <s v="24 -27"/>
    <x v="0"/>
    <x v="0"/>
    <x v="1"/>
    <x v="1"/>
    <s v="Social media"/>
    <x v="1"/>
    <x v="0"/>
    <s v="Twitter (X)"/>
    <x v="1"/>
    <s v="Neutral"/>
    <x v="1"/>
    <s v="Neutral"/>
    <x v="1"/>
    <s v="No"/>
    <s v="No"/>
    <s v="Neutral"/>
    <x v="2"/>
    <s v="No"/>
  </r>
  <r>
    <x v="0"/>
    <s v="20 -23"/>
    <x v="0"/>
    <x v="0"/>
    <x v="2"/>
    <x v="4"/>
    <s v="School orientation"/>
    <x v="0"/>
    <x v="0"/>
    <s v="I have not seen any"/>
    <x v="3"/>
    <s v="Neutral"/>
    <x v="1"/>
    <s v="Neutral"/>
    <x v="0"/>
    <s v="Not sure"/>
    <s v="No"/>
    <s v="Neutral"/>
    <x v="0"/>
    <s v="No"/>
  </r>
  <r>
    <x v="1"/>
    <s v="20 -23"/>
    <x v="0"/>
    <x v="0"/>
    <x v="0"/>
    <x v="2"/>
    <s v="Friends/peers"/>
    <x v="1"/>
    <x v="1"/>
    <s v="Twitter (X)"/>
    <x v="3"/>
    <s v="Effective"/>
    <x v="1"/>
    <s v="Very comfortable"/>
    <x v="2"/>
    <s v="Yes"/>
    <s v="No"/>
    <s v="Untrustworthy"/>
    <x v="0"/>
    <s v="Yes"/>
  </r>
  <r>
    <x v="1"/>
    <s v="24 -27"/>
    <x v="0"/>
    <x v="0"/>
    <x v="1"/>
    <x v="4"/>
    <s v="Social media"/>
    <x v="0"/>
    <x v="0"/>
    <s v="I have not seen any"/>
    <x v="0"/>
    <s v="Effective"/>
    <x v="1"/>
    <s v="Neutral"/>
    <x v="0"/>
    <s v="Not sure"/>
    <s v="No"/>
    <s v="Neutral"/>
    <x v="2"/>
    <s v="No"/>
  </r>
  <r>
    <x v="0"/>
    <s v="20 -23"/>
    <x v="0"/>
    <x v="0"/>
    <x v="4"/>
    <x v="5"/>
    <s v="Social media"/>
    <x v="0"/>
    <x v="0"/>
    <s v="I have not seen any"/>
    <x v="1"/>
    <s v="Ineffective"/>
    <x v="1"/>
    <s v="Very uncomfortable"/>
    <x v="1"/>
    <s v="Not sure"/>
    <s v="No"/>
    <s v="Neutral"/>
    <x v="1"/>
    <s v="No"/>
  </r>
  <r>
    <x v="1"/>
    <s v="24 -27"/>
    <x v="0"/>
    <x v="1"/>
    <x v="3"/>
    <x v="0"/>
    <s v="Social media &amp; School orientation"/>
    <x v="1"/>
    <x v="1"/>
    <s v="WhatsApp"/>
    <x v="3"/>
    <s v="Very effective"/>
    <x v="0"/>
    <s v="Comfortable"/>
    <x v="0"/>
    <s v="Yes"/>
    <s v="No"/>
    <s v="Trustworthy"/>
    <x v="0"/>
    <s v="Yes"/>
  </r>
  <r>
    <x v="1"/>
    <s v="20 -23"/>
    <x v="1"/>
    <x v="1"/>
    <x v="2"/>
    <x v="4"/>
    <s v="Social media"/>
    <x v="1"/>
    <x v="1"/>
    <s v="Twitter (X)"/>
    <x v="1"/>
    <s v="Neutral"/>
    <x v="0"/>
    <s v="Uncomfortable"/>
    <x v="2"/>
    <s v="No"/>
    <s v="Yes"/>
    <s v="Neutral"/>
    <x v="0"/>
    <s v="Yes"/>
  </r>
  <r>
    <x v="0"/>
    <s v="20 -23"/>
    <x v="2"/>
    <x v="0"/>
    <x v="1"/>
    <x v="1"/>
    <s v="Social media"/>
    <x v="2"/>
    <x v="0"/>
    <s v="I have not seen any"/>
    <x v="4"/>
    <s v="Very ineffective"/>
    <x v="1"/>
    <s v="Neutral"/>
    <x v="2"/>
    <s v="No"/>
    <s v="No"/>
    <s v="Neutral"/>
    <x v="0"/>
    <s v="No"/>
  </r>
  <r>
    <x v="1"/>
    <s v="20 -23"/>
    <x v="2"/>
    <x v="1"/>
    <x v="1"/>
    <x v="0"/>
    <s v="Social media &amp; Friends/peers"/>
    <x v="0"/>
    <x v="1"/>
    <s v="WhatsApp"/>
    <x v="1"/>
    <s v="Effective"/>
    <x v="1"/>
    <s v="Uncomfortable"/>
    <x v="0"/>
    <s v="No"/>
    <s v="No"/>
    <s v="Untrustworthy"/>
    <x v="0"/>
    <s v="No"/>
  </r>
  <r>
    <x v="2"/>
    <s v="20 -23"/>
    <x v="4"/>
    <x v="0"/>
    <x v="2"/>
    <x v="4"/>
    <s v="Social media"/>
    <x v="1"/>
    <x v="0"/>
    <s v="I have not seen any"/>
    <x v="1"/>
    <s v="Very effective"/>
    <x v="1"/>
    <s v="Neutral"/>
    <x v="0"/>
    <s v="Yes"/>
    <s v="No"/>
    <s v="Neutral"/>
    <x v="0"/>
    <s v="No"/>
  </r>
  <r>
    <x v="1"/>
    <s v="16 -19"/>
    <x v="4"/>
    <x v="0"/>
    <x v="1"/>
    <x v="0"/>
    <s v="Friends/peers"/>
    <x v="3"/>
    <x v="0"/>
    <s v="I have not seen any"/>
    <x v="2"/>
    <s v="Very ineffective"/>
    <x v="0"/>
    <s v="Very comfortable"/>
    <x v="0"/>
    <s v="Not sure"/>
    <s v="No"/>
    <s v="Untrustworthy"/>
    <x v="0"/>
    <s v="No"/>
  </r>
  <r>
    <x v="2"/>
    <s v="20 -23"/>
    <x v="4"/>
    <x v="0"/>
    <x v="1"/>
    <x v="0"/>
    <s v="Friends/peers"/>
    <x v="1"/>
    <x v="1"/>
    <s v="Tik Tok"/>
    <x v="0"/>
    <s v="Effective"/>
    <x v="0"/>
    <s v="Neutral"/>
    <x v="0"/>
    <s v="Not sure"/>
    <s v="No"/>
    <s v="Neutral"/>
    <x v="0"/>
    <s v="No"/>
  </r>
  <r>
    <x v="1"/>
    <s v="20 -23"/>
    <x v="4"/>
    <x v="0"/>
    <x v="4"/>
    <x v="0"/>
    <s v="Level advisers"/>
    <x v="0"/>
    <x v="0"/>
    <s v="I have not seen any"/>
    <x v="3"/>
    <s v="Effective"/>
    <x v="1"/>
    <s v="Neutral"/>
    <x v="0"/>
    <s v="Not sure"/>
    <s v="No"/>
    <s v="Neutral"/>
    <x v="1"/>
    <s v="No"/>
  </r>
  <r>
    <x v="0"/>
    <s v="16 -19"/>
    <x v="4"/>
    <x v="0"/>
    <x v="1"/>
    <x v="1"/>
    <s v="Friends/peers"/>
    <x v="0"/>
    <x v="0"/>
    <s v="I have not seen any"/>
    <x v="3"/>
    <s v="Neutral"/>
    <x v="1"/>
    <s v="Uncomfortable"/>
    <x v="0"/>
    <s v="Not sure"/>
    <s v="No"/>
    <s v="Untrustworthy"/>
    <x v="0"/>
    <s v="No"/>
  </r>
  <r>
    <x v="1"/>
    <s v="16 -19"/>
    <x v="4"/>
    <x v="1"/>
    <x v="2"/>
    <x v="0"/>
    <s v="School orientation"/>
    <x v="0"/>
    <x v="0"/>
    <s v="I have not seen any"/>
    <x v="3"/>
    <s v="Ineffective"/>
    <x v="0"/>
    <s v="Neutral"/>
    <x v="0"/>
    <s v="No"/>
    <s v="No"/>
    <s v="Trustworthy"/>
    <x v="0"/>
    <s v="No"/>
  </r>
  <r>
    <x v="1"/>
    <s v="20 -23"/>
    <x v="4"/>
    <x v="0"/>
    <x v="1"/>
    <x v="1"/>
    <s v="School orientation"/>
    <x v="3"/>
    <x v="0"/>
    <s v="I have not seen any"/>
    <x v="3"/>
    <s v="Neutral"/>
    <x v="0"/>
    <s v="Neutral"/>
    <x v="1"/>
    <s v="No"/>
    <s v="No"/>
    <s v="Neutral"/>
    <x v="0"/>
    <s v="No"/>
  </r>
  <r>
    <x v="1"/>
    <s v="28 and above"/>
    <x v="4"/>
    <x v="0"/>
    <x v="2"/>
    <x v="4"/>
    <s v="Friends/peers"/>
    <x v="0"/>
    <x v="0"/>
    <s v="I have not seen any"/>
    <x v="3"/>
    <s v="Effective"/>
    <x v="0"/>
    <s v="Comfortable"/>
    <x v="0"/>
    <s v="Yes"/>
    <s v="No"/>
    <s v="Trustworthy"/>
    <x v="0"/>
    <s v="Yes"/>
  </r>
  <r>
    <x v="1"/>
    <s v="24 -27"/>
    <x v="4"/>
    <x v="0"/>
    <x v="4"/>
    <x v="4"/>
    <s v="Social media"/>
    <x v="0"/>
    <x v="0"/>
    <s v="Facebook"/>
    <x v="3"/>
    <s v="Effective"/>
    <x v="0"/>
    <s v="Very comfortable"/>
    <x v="0"/>
    <s v="Yes"/>
    <s v="No"/>
    <s v="Very trustworthy"/>
    <x v="0"/>
    <s v="Yes"/>
  </r>
  <r>
    <x v="1"/>
    <s v="24 -27"/>
    <x v="1"/>
    <x v="0"/>
    <x v="4"/>
    <x v="3"/>
    <s v="Lecturers"/>
    <x v="4"/>
    <x v="1"/>
    <s v="Tik Tok"/>
    <x v="0"/>
    <s v="Very ineffective"/>
    <x v="2"/>
    <s v="Uncomfortable"/>
    <x v="2"/>
    <s v="No"/>
    <s v="No"/>
    <s v="Untrustworthy"/>
    <x v="1"/>
    <s v="Yes"/>
  </r>
  <r>
    <x v="1"/>
    <s v="20 -23"/>
    <x v="3"/>
    <x v="0"/>
    <x v="2"/>
    <x v="4"/>
    <s v="Social media"/>
    <x v="1"/>
    <x v="1"/>
    <s v="WhatsApp &amp; Twitter (X)"/>
    <x v="1"/>
    <s v="Effective"/>
    <x v="0"/>
    <s v="Neutral"/>
    <x v="0"/>
    <s v="No"/>
    <s v="No"/>
    <s v="Neutral"/>
    <x v="0"/>
    <s v="Yes"/>
  </r>
  <r>
    <x v="1"/>
    <s v="24 -27"/>
    <x v="3"/>
    <x v="0"/>
    <x v="1"/>
    <x v="1"/>
    <s v="Level advisers"/>
    <x v="0"/>
    <x v="0"/>
    <s v="I have not seen any"/>
    <x v="1"/>
    <s v="Ineffective"/>
    <x v="0"/>
    <s v="Comfortable"/>
    <x v="0"/>
    <s v="Not sure"/>
    <s v="No"/>
    <s v="Neutral"/>
    <x v="0"/>
    <s v="No"/>
  </r>
  <r>
    <x v="1"/>
    <s v="28 and above"/>
    <x v="3"/>
    <x v="0"/>
    <x v="2"/>
    <x v="0"/>
    <s v="Friends/peers"/>
    <x v="2"/>
    <x v="1"/>
    <s v="Instagram"/>
    <x v="0"/>
    <s v="Effective"/>
    <x v="0"/>
    <s v="Neutral"/>
    <x v="0"/>
    <s v="No"/>
    <s v="No"/>
    <s v="Trustworthy"/>
    <x v="2"/>
    <s v="Yes"/>
  </r>
  <r>
    <x v="0"/>
    <s v="24 -27"/>
    <x v="3"/>
    <x v="1"/>
    <x v="2"/>
    <x v="2"/>
    <s v="School orientation"/>
    <x v="2"/>
    <x v="1"/>
    <s v="Instagram &amp; Twitter (X)"/>
    <x v="0"/>
    <s v="Effective"/>
    <x v="0"/>
    <s v="Comfortable"/>
    <x v="0"/>
    <s v="Not sure"/>
    <s v="No"/>
    <s v="Trustworthy"/>
    <x v="0"/>
    <s v="No"/>
  </r>
  <r>
    <x v="1"/>
    <s v="24 -27"/>
    <x v="4"/>
    <x v="0"/>
    <x v="1"/>
    <x v="0"/>
    <s v="School orientation &amp; Lecturers"/>
    <x v="0"/>
    <x v="0"/>
    <s v="I have not seen any"/>
    <x v="4"/>
    <s v="Very ineffective"/>
    <x v="0"/>
    <s v="Comfortable"/>
    <x v="0"/>
    <s v="No"/>
    <s v="No"/>
    <s v="Very trustworthy"/>
    <x v="0"/>
    <s v="No"/>
  </r>
  <r>
    <x v="1"/>
    <s v="24 -27"/>
    <x v="3"/>
    <x v="0"/>
    <x v="2"/>
    <x v="1"/>
    <s v="Social media"/>
    <x v="4"/>
    <x v="0"/>
    <s v="I have not seen any"/>
    <x v="1"/>
    <s v="Ineffective"/>
    <x v="1"/>
    <s v="Uncomfortable"/>
    <x v="1"/>
    <s v="Not sure"/>
    <s v="No"/>
    <s v="Neutral"/>
    <x v="1"/>
    <s v="No"/>
  </r>
  <r>
    <x v="0"/>
    <s v="24 -27"/>
    <x v="4"/>
    <x v="1"/>
    <x v="1"/>
    <x v="0"/>
    <s v="School orientation"/>
    <x v="0"/>
    <x v="0"/>
    <s v="I have not seen any"/>
    <x v="1"/>
    <s v="Ineffective"/>
    <x v="0"/>
    <s v="Comfortable"/>
    <x v="0"/>
    <s v="Not sure"/>
    <s v="No"/>
    <s v="Neutral"/>
    <x v="0"/>
    <s v="No"/>
  </r>
  <r>
    <x v="1"/>
    <s v="20 -23"/>
    <x v="3"/>
    <x v="1"/>
    <x v="1"/>
    <x v="4"/>
    <s v="Social media"/>
    <x v="0"/>
    <x v="1"/>
    <s v="Facebook"/>
    <x v="1"/>
    <s v="Effective"/>
    <x v="0"/>
    <s v="Comfortable"/>
    <x v="0"/>
    <s v="Yes"/>
    <s v="No"/>
    <s v="Neutral"/>
    <x v="0"/>
    <s v="Yes"/>
  </r>
  <r>
    <x v="0"/>
    <s v="20 -23"/>
    <x v="3"/>
    <x v="0"/>
    <x v="1"/>
    <x v="0"/>
    <s v="School orientation"/>
    <x v="0"/>
    <x v="0"/>
    <s v="I have not seen any"/>
    <x v="3"/>
    <s v="Neutral"/>
    <x v="0"/>
    <s v="Comfortable"/>
    <x v="0"/>
    <s v="No"/>
    <s v="No"/>
    <s v="Neutral"/>
    <x v="1"/>
    <s v="No"/>
  </r>
  <r>
    <x v="1"/>
    <s v="16 -19"/>
    <x v="3"/>
    <x v="1"/>
    <x v="2"/>
    <x v="0"/>
    <s v="School orientation"/>
    <x v="0"/>
    <x v="0"/>
    <s v="I have not seen any"/>
    <x v="1"/>
    <s v="Neutral"/>
    <x v="0"/>
    <s v="Comfortable"/>
    <x v="0"/>
    <s v="No"/>
    <s v="No"/>
    <s v="Neutral"/>
    <x v="0"/>
    <s v="No"/>
  </r>
  <r>
    <x v="1"/>
    <s v="20 -23"/>
    <x v="3"/>
    <x v="0"/>
    <x v="4"/>
    <x v="0"/>
    <s v="Lecturers"/>
    <x v="0"/>
    <x v="1"/>
    <s v="I have not seen any"/>
    <x v="3"/>
    <s v="Effective"/>
    <x v="0"/>
    <s v="Very comfortable"/>
    <x v="0"/>
    <s v="Yes"/>
    <s v="No"/>
    <s v="Neutral"/>
    <x v="0"/>
    <s v="No"/>
  </r>
  <r>
    <x v="1"/>
    <s v="16 -19"/>
    <x v="3"/>
    <x v="1"/>
    <x v="2"/>
    <x v="4"/>
    <s v="Social media &amp; Friends/peers"/>
    <x v="0"/>
    <x v="2"/>
    <s v="I have not seen any"/>
    <x v="1"/>
    <s v="Neutral"/>
    <x v="0"/>
    <s v="Neutral"/>
    <x v="2"/>
    <s v="No"/>
    <s v="No"/>
    <s v="Neutral"/>
    <x v="0"/>
    <s v="Yes"/>
  </r>
  <r>
    <x v="1"/>
    <s v="28 and above"/>
    <x v="1"/>
    <x v="0"/>
    <x v="1"/>
    <x v="4"/>
    <s v="Social media"/>
    <x v="4"/>
    <x v="0"/>
    <s v="Facebook"/>
    <x v="3"/>
    <s v="Ineffective"/>
    <x v="0"/>
    <s v="Neutral"/>
    <x v="0"/>
    <s v="No"/>
    <s v="No"/>
    <s v="Trustworthy"/>
    <x v="0"/>
    <s v="No"/>
  </r>
  <r>
    <x v="0"/>
    <s v="16 -19"/>
    <x v="0"/>
    <x v="0"/>
    <x v="1"/>
    <x v="5"/>
    <s v="Social media"/>
    <x v="3"/>
    <x v="0"/>
    <s v="WhatsApp"/>
    <x v="2"/>
    <s v="Ineffective"/>
    <x v="0"/>
    <s v="Neutral"/>
    <x v="0"/>
    <s v="No"/>
    <s v="No"/>
    <s v="Neutral"/>
    <x v="0"/>
    <s v="No"/>
  </r>
  <r>
    <x v="1"/>
    <s v="24 -27"/>
    <x v="3"/>
    <x v="1"/>
    <x v="0"/>
    <x v="2"/>
    <s v="School orientation"/>
    <x v="4"/>
    <x v="1"/>
    <s v="Facebook"/>
    <x v="0"/>
    <s v="Very effective"/>
    <x v="0"/>
    <s v="Very comfortable"/>
    <x v="0"/>
    <s v="Yes"/>
    <s v="Yes"/>
    <s v="Trustworthy"/>
    <x v="0"/>
    <s v="Yes"/>
  </r>
  <r>
    <x v="0"/>
    <s v="20 -23"/>
    <x v="2"/>
    <x v="1"/>
    <x v="2"/>
    <x v="2"/>
    <s v="Social media &amp; School orientation"/>
    <x v="0"/>
    <x v="1"/>
    <s v="Twitter (X)"/>
    <x v="0"/>
    <s v="Effective"/>
    <x v="0"/>
    <s v="Comfortable"/>
    <x v="0"/>
    <s v="Yes"/>
    <s v="No"/>
    <s v="Very trustworthy"/>
    <x v="1"/>
    <s v="No"/>
  </r>
  <r>
    <x v="0"/>
    <s v="20 -23"/>
    <x v="3"/>
    <x v="0"/>
    <x v="1"/>
    <x v="1"/>
    <s v="Social media &amp; Friends/peers"/>
    <x v="0"/>
    <x v="1"/>
    <s v="WhatsApp"/>
    <x v="3"/>
    <s v="Effective"/>
    <x v="2"/>
    <s v="Uncomfortable"/>
    <x v="2"/>
    <s v="No"/>
    <s v="No"/>
    <s v="Very trustworthy"/>
    <x v="2"/>
    <s v="No"/>
  </r>
  <r>
    <x v="1"/>
    <s v="24 -27"/>
    <x v="2"/>
    <x v="0"/>
    <x v="0"/>
    <x v="4"/>
    <s v="Friends/peers"/>
    <x v="0"/>
    <x v="0"/>
    <s v="I have not seen any"/>
    <x v="3"/>
    <s v="Effective"/>
    <x v="0"/>
    <s v="Comfortable"/>
    <x v="1"/>
    <s v="No"/>
    <s v="No"/>
    <s v="Very trustworthy"/>
    <x v="0"/>
    <s v="No"/>
  </r>
  <r>
    <x v="0"/>
    <s v="24 -27"/>
    <x v="2"/>
    <x v="1"/>
    <x v="2"/>
    <x v="0"/>
    <s v="Friends/peers"/>
    <x v="0"/>
    <x v="0"/>
    <s v="I have not seen any"/>
    <x v="0"/>
    <s v="Neutral"/>
    <x v="1"/>
    <s v="Neutral"/>
    <x v="1"/>
    <s v="Not sure"/>
    <s v="No"/>
    <s v="Neutral"/>
    <x v="0"/>
    <s v="No"/>
  </r>
  <r>
    <x v="0"/>
    <s v="20 -23"/>
    <x v="2"/>
    <x v="0"/>
    <x v="2"/>
    <x v="4"/>
    <s v="Social media"/>
    <x v="0"/>
    <x v="0"/>
    <s v="I have not seen any"/>
    <x v="1"/>
    <s v="Neutral"/>
    <x v="1"/>
    <s v="Neutral"/>
    <x v="1"/>
    <s v="Not sure"/>
    <s v="No"/>
    <s v="Neutral"/>
    <x v="1"/>
    <s v="No"/>
  </r>
  <r>
    <x v="0"/>
    <s v="16 -19"/>
    <x v="3"/>
    <x v="0"/>
    <x v="1"/>
    <x v="1"/>
    <s v="Social media"/>
    <x v="0"/>
    <x v="0"/>
    <s v="I have not seen any"/>
    <x v="1"/>
    <s v="Neutral"/>
    <x v="2"/>
    <s v="Uncomfortable"/>
    <x v="1"/>
    <s v="Not sure"/>
    <s v="No"/>
    <s v="Neutral"/>
    <x v="0"/>
    <s v="No"/>
  </r>
  <r>
    <x v="2"/>
    <s v="20 -23"/>
    <x v="2"/>
    <x v="0"/>
    <x v="1"/>
    <x v="3"/>
    <s v="Social media"/>
    <x v="0"/>
    <x v="0"/>
    <s v="I have not seen any"/>
    <x v="2"/>
    <s v="Ineffective"/>
    <x v="1"/>
    <s v="Comfortable"/>
    <x v="0"/>
    <s v="No"/>
    <s v="No"/>
    <s v="Trustworthy"/>
    <x v="0"/>
    <s v="No"/>
  </r>
  <r>
    <x v="0"/>
    <s v="24 -27"/>
    <x v="2"/>
    <x v="1"/>
    <x v="3"/>
    <x v="2"/>
    <s v="Social media"/>
    <x v="0"/>
    <x v="1"/>
    <s v="WhatsApp &amp; Instagram"/>
    <x v="0"/>
    <s v="Very ineffective"/>
    <x v="0"/>
    <s v="Very comfortable"/>
    <x v="0"/>
    <s v="Not sure"/>
    <s v="No"/>
    <s v="Trustworthy"/>
    <x v="0"/>
    <s v="No"/>
  </r>
  <r>
    <x v="0"/>
    <s v="20 -23"/>
    <x v="3"/>
    <x v="1"/>
    <x v="1"/>
    <x v="4"/>
    <s v="Friends/peers"/>
    <x v="0"/>
    <x v="0"/>
    <s v="WhatsApp"/>
    <x v="3"/>
    <s v="Neutral"/>
    <x v="0"/>
    <s v="Neutral"/>
    <x v="0"/>
    <s v="No"/>
    <s v="No"/>
    <s v="Neutral"/>
    <x v="0"/>
    <s v="No"/>
  </r>
  <r>
    <x v="1"/>
    <s v="28 and above"/>
    <x v="2"/>
    <x v="1"/>
    <x v="3"/>
    <x v="0"/>
    <s v="Lecturers"/>
    <x v="0"/>
    <x v="0"/>
    <s v="I have not seen any"/>
    <x v="0"/>
    <s v="Very effective"/>
    <x v="0"/>
    <s v="Very comfortable"/>
    <x v="0"/>
    <s v="Yes"/>
    <s v="No"/>
    <s v="Trustworthy"/>
    <x v="0"/>
    <s v="No"/>
  </r>
  <r>
    <x v="0"/>
    <s v="20 -23"/>
    <x v="2"/>
    <x v="1"/>
    <x v="2"/>
    <x v="2"/>
    <s v="Social media"/>
    <x v="0"/>
    <x v="1"/>
    <s v="WhatsApp"/>
    <x v="0"/>
    <s v="Very effective"/>
    <x v="0"/>
    <s v="Very comfortable"/>
    <x v="0"/>
    <s v="Yes"/>
    <s v="No"/>
    <s v="Very trustworthy"/>
    <x v="0"/>
    <s v="No"/>
  </r>
  <r>
    <x v="0"/>
    <s v="24 -27"/>
    <x v="2"/>
    <x v="1"/>
    <x v="0"/>
    <x v="5"/>
    <s v="Social media"/>
    <x v="0"/>
    <x v="0"/>
    <s v="WhatsApp"/>
    <x v="0"/>
    <s v="Very effective"/>
    <x v="0"/>
    <s v="Very comfortable"/>
    <x v="0"/>
    <s v="Not sure"/>
    <s v="Yes"/>
    <s v="Very trustworthy"/>
    <x v="0"/>
    <s v="No"/>
  </r>
  <r>
    <x v="0"/>
    <s v="28 and above"/>
    <x v="3"/>
    <x v="0"/>
    <x v="3"/>
    <x v="0"/>
    <s v="Lecturers"/>
    <x v="0"/>
    <x v="0"/>
    <s v="I have not seen any"/>
    <x v="0"/>
    <s v="Very effective"/>
    <x v="0"/>
    <s v="Very comfortable"/>
    <x v="0"/>
    <s v="Yes"/>
    <s v="No"/>
    <s v="Very trustworthy"/>
    <x v="0"/>
    <s v="No"/>
  </r>
  <r>
    <x v="0"/>
    <s v="20 -23"/>
    <x v="2"/>
    <x v="1"/>
    <x v="2"/>
    <x v="3"/>
    <s v="School orientation"/>
    <x v="0"/>
    <x v="0"/>
    <s v="I have not seen any"/>
    <x v="3"/>
    <s v="Effective"/>
    <x v="0"/>
    <s v="Neutral"/>
    <x v="0"/>
    <s v="No"/>
    <s v="No"/>
    <s v="Neutral"/>
    <x v="0"/>
    <s v="No"/>
  </r>
  <r>
    <x v="0"/>
    <s v="20 -23"/>
    <x v="2"/>
    <x v="0"/>
    <x v="4"/>
    <x v="0"/>
    <s v="Lecturers"/>
    <x v="0"/>
    <x v="0"/>
    <s v="I have not seen any"/>
    <x v="3"/>
    <s v="Very effective"/>
    <x v="0"/>
    <s v="Very comfortable"/>
    <x v="0"/>
    <s v="No"/>
    <s v="No"/>
    <s v="Trustworthy"/>
    <x v="2"/>
    <s v="Yes"/>
  </r>
  <r>
    <x v="1"/>
    <s v="24 -27"/>
    <x v="3"/>
    <x v="0"/>
    <x v="2"/>
    <x v="3"/>
    <s v="Lecturers"/>
    <x v="0"/>
    <x v="0"/>
    <s v="I have not seen any"/>
    <x v="3"/>
    <s v="Very effective"/>
    <x v="2"/>
    <s v="Neutral"/>
    <x v="2"/>
    <s v="Not sure"/>
    <s v="No"/>
    <s v="Trustworthy"/>
    <x v="2"/>
    <s v="No"/>
  </r>
  <r>
    <x v="1"/>
    <s v="24 -27"/>
    <x v="3"/>
    <x v="0"/>
    <x v="2"/>
    <x v="3"/>
    <s v="Social media"/>
    <x v="0"/>
    <x v="0"/>
    <s v="WhatsApp"/>
    <x v="1"/>
    <s v="Effective"/>
    <x v="1"/>
    <s v="Comfortable"/>
    <x v="2"/>
    <s v="Not sure"/>
    <s v="No"/>
    <s v="Trustworthy"/>
    <x v="2"/>
    <s v="No"/>
  </r>
  <r>
    <x v="1"/>
    <s v="24 -27"/>
    <x v="3"/>
    <x v="0"/>
    <x v="2"/>
    <x v="3"/>
    <s v="Social media"/>
    <x v="0"/>
    <x v="0"/>
    <s v="WhatsApp"/>
    <x v="3"/>
    <s v="Effective"/>
    <x v="1"/>
    <s v="Comfortable"/>
    <x v="2"/>
    <s v="No"/>
    <s v="No"/>
    <s v="Trustworthy"/>
    <x v="2"/>
    <s v="No"/>
  </r>
  <r>
    <x v="1"/>
    <s v="24 -27"/>
    <x v="3"/>
    <x v="1"/>
    <x v="0"/>
    <x v="0"/>
    <s v="Social media"/>
    <x v="3"/>
    <x v="1"/>
    <s v="Twitter (X)"/>
    <x v="0"/>
    <s v="Very effective"/>
    <x v="0"/>
    <s v="Very comfortable"/>
    <x v="0"/>
    <s v="Yes"/>
    <s v="Yes"/>
    <s v="Very trustworthy"/>
    <x v="0"/>
    <s v="Yes"/>
  </r>
  <r>
    <x v="0"/>
    <s v="20 -23"/>
    <x v="3"/>
    <x v="1"/>
    <x v="0"/>
    <x v="2"/>
    <s v="Friends/peers"/>
    <x v="4"/>
    <x v="0"/>
    <s v="I have not seen any"/>
    <x v="1"/>
    <s v="Effective"/>
    <x v="0"/>
    <s v="Comfortable"/>
    <x v="0"/>
    <s v="Not sure"/>
    <s v="No"/>
    <s v="Neutral"/>
    <x v="1"/>
    <s v="No"/>
  </r>
  <r>
    <x v="0"/>
    <s v="20 -23"/>
    <x v="3"/>
    <x v="1"/>
    <x v="2"/>
    <x v="2"/>
    <s v="School orientation"/>
    <x v="4"/>
    <x v="0"/>
    <s v="I have not seen any"/>
    <x v="1"/>
    <s v="Effective"/>
    <x v="2"/>
    <s v="Very uncomfortable"/>
    <x v="1"/>
    <s v="No"/>
    <s v="No"/>
    <s v="Neutral"/>
    <x v="0"/>
    <s v="No"/>
  </r>
  <r>
    <x v="0"/>
    <s v="20 -23"/>
    <x v="2"/>
    <x v="1"/>
    <x v="2"/>
    <x v="0"/>
    <s v="Lecturers"/>
    <x v="0"/>
    <x v="0"/>
    <s v="I have not seen any"/>
    <x v="3"/>
    <s v="Neutral"/>
    <x v="1"/>
    <s v="Neutral"/>
    <x v="0"/>
    <s v="Not sure"/>
    <s v="No"/>
    <s v="Neutral"/>
    <x v="0"/>
    <s v="No"/>
  </r>
  <r>
    <x v="0"/>
    <s v="20 -23"/>
    <x v="3"/>
    <x v="1"/>
    <x v="1"/>
    <x v="2"/>
    <s v="School orientation"/>
    <x v="4"/>
    <x v="1"/>
    <s v="Facebook"/>
    <x v="3"/>
    <s v="Neutral"/>
    <x v="2"/>
    <s v="Neutral"/>
    <x v="0"/>
    <s v="Yes"/>
    <s v="No"/>
    <s v="Neutral"/>
    <x v="0"/>
    <s v="No"/>
  </r>
  <r>
    <x v="0"/>
    <s v="20 -23"/>
    <x v="3"/>
    <x v="1"/>
    <x v="2"/>
    <x v="4"/>
    <s v="Social media"/>
    <x v="0"/>
    <x v="0"/>
    <s v="I have not seen any"/>
    <x v="1"/>
    <s v="Neutral"/>
    <x v="0"/>
    <s v="Comfortable"/>
    <x v="0"/>
    <s v="Yes"/>
    <s v="No"/>
    <s v="Neutral"/>
    <x v="0"/>
    <s v="No"/>
  </r>
  <r>
    <x v="0"/>
    <s v="24 -27"/>
    <x v="3"/>
    <x v="1"/>
    <x v="3"/>
    <x v="4"/>
    <s v="Social media"/>
    <x v="4"/>
    <x v="1"/>
    <s v="Facebook"/>
    <x v="0"/>
    <s v="Very ineffective"/>
    <x v="0"/>
    <s v="Neutral"/>
    <x v="0"/>
    <s v="No"/>
    <s v="No"/>
    <s v="Neutral"/>
    <x v="0"/>
    <s v="No"/>
  </r>
  <r>
    <x v="0"/>
    <s v="20 -23"/>
    <x v="2"/>
    <x v="1"/>
    <x v="4"/>
    <x v="2"/>
    <s v="Social media"/>
    <x v="0"/>
    <x v="1"/>
    <s v="WhatsApp"/>
    <x v="0"/>
    <s v="Very effective"/>
    <x v="0"/>
    <s v="Very comfortable"/>
    <x v="0"/>
    <s v="No"/>
    <s v="No"/>
    <s v="Very trustworthy"/>
    <x v="0"/>
    <s v="Yes"/>
  </r>
  <r>
    <x v="1"/>
    <s v="16 -19"/>
    <x v="3"/>
    <x v="0"/>
    <x v="2"/>
    <x v="1"/>
    <s v="Social media"/>
    <x v="0"/>
    <x v="0"/>
    <s v="I have not seen any"/>
    <x v="1"/>
    <s v="Neutral"/>
    <x v="0"/>
    <s v="Neutral"/>
    <x v="1"/>
    <s v="No"/>
    <s v="No"/>
    <s v="Neutral"/>
    <x v="2"/>
    <s v="No"/>
  </r>
  <r>
    <x v="1"/>
    <s v="20 -23"/>
    <x v="3"/>
    <x v="0"/>
    <x v="1"/>
    <x v="5"/>
    <s v="School orientation"/>
    <x v="4"/>
    <x v="0"/>
    <s v="I have not seen any"/>
    <x v="1"/>
    <s v="Neutral"/>
    <x v="0"/>
    <s v="Comfortable"/>
    <x v="1"/>
    <s v="No"/>
    <s v="No"/>
    <s v="Neutral"/>
    <x v="0"/>
    <s v="No"/>
  </r>
  <r>
    <x v="0"/>
    <s v="24 -27"/>
    <x v="2"/>
    <x v="1"/>
    <x v="2"/>
    <x v="2"/>
    <s v="Social media"/>
    <x v="3"/>
    <x v="1"/>
    <s v="Tik Tok"/>
    <x v="0"/>
    <s v="Very effective"/>
    <x v="0"/>
    <s v="Very comfortable"/>
    <x v="0"/>
    <s v="Yes"/>
    <s v="Yes"/>
    <s v="Very trustworthy"/>
    <x v="0"/>
    <s v="Yes"/>
  </r>
  <r>
    <x v="1"/>
    <s v="20 -23"/>
    <x v="3"/>
    <x v="1"/>
    <x v="3"/>
    <x v="2"/>
    <s v="Friends/peers"/>
    <x v="1"/>
    <x v="1"/>
    <s v="WhatsApp &amp; Instagram"/>
    <x v="0"/>
    <s v="Effective"/>
    <x v="2"/>
    <s v="Very comfortable"/>
    <x v="0"/>
    <s v="No"/>
    <s v="No"/>
    <s v="Neutral"/>
    <x v="0"/>
    <s v="Yes"/>
  </r>
  <r>
    <x v="1"/>
    <s v="20 -23"/>
    <x v="3"/>
    <x v="0"/>
    <x v="1"/>
    <x v="1"/>
    <s v="Social media"/>
    <x v="0"/>
    <x v="0"/>
    <s v="I have not seen any"/>
    <x v="0"/>
    <s v="Effective"/>
    <x v="1"/>
    <s v="Neutral"/>
    <x v="0"/>
    <s v="Not sure"/>
    <s v="No"/>
    <s v="Neutral"/>
    <x v="1"/>
    <s v="No"/>
  </r>
  <r>
    <x v="1"/>
    <s v="20 -23"/>
    <x v="2"/>
    <x v="0"/>
    <x v="3"/>
    <x v="1"/>
    <s v="Lecturers"/>
    <x v="2"/>
    <x v="0"/>
    <s v="I have not seen any"/>
    <x v="3"/>
    <s v="Ineffective"/>
    <x v="2"/>
    <s v="Uncomfortable"/>
    <x v="1"/>
    <s v="Not sure"/>
    <s v="No"/>
    <s v="Very trustworthy"/>
    <x v="2"/>
    <s v="No"/>
  </r>
  <r>
    <x v="0"/>
    <s v="24 -27"/>
    <x v="2"/>
    <x v="1"/>
    <x v="2"/>
    <x v="0"/>
    <s v="Friends/peers"/>
    <x v="2"/>
    <x v="0"/>
    <s v="I have not seen any"/>
    <x v="1"/>
    <s v="Neutral"/>
    <x v="0"/>
    <s v="Neutral"/>
    <x v="0"/>
    <s v="No"/>
    <s v="No"/>
    <s v="Neutral"/>
    <x v="0"/>
    <s v="No"/>
  </r>
  <r>
    <x v="0"/>
    <s v="20 -23"/>
    <x v="3"/>
    <x v="1"/>
    <x v="1"/>
    <x v="1"/>
    <s v="Social media"/>
    <x v="0"/>
    <x v="0"/>
    <s v="I have not seen any"/>
    <x v="1"/>
    <s v="Neutral"/>
    <x v="1"/>
    <s v="Uncomfortable"/>
    <x v="0"/>
    <s v="No"/>
    <s v="No"/>
    <s v="Trustworthy"/>
    <x v="0"/>
    <s v="No"/>
  </r>
  <r>
    <x v="1"/>
    <s v="24 -27"/>
    <x v="2"/>
    <x v="1"/>
    <x v="0"/>
    <x v="0"/>
    <s v="Friends/peers"/>
    <x v="2"/>
    <x v="0"/>
    <s v="Instagram"/>
    <x v="3"/>
    <s v="Neutral"/>
    <x v="0"/>
    <s v="Very comfortable"/>
    <x v="0"/>
    <s v="No"/>
    <s v="No"/>
    <s v="Trustworthy"/>
    <x v="0"/>
    <s v="No"/>
  </r>
  <r>
    <x v="0"/>
    <s v="20 -23"/>
    <x v="2"/>
    <x v="0"/>
    <x v="1"/>
    <x v="1"/>
    <s v="School orientation"/>
    <x v="0"/>
    <x v="0"/>
    <s v="I have not seen any"/>
    <x v="1"/>
    <s v="Neutral"/>
    <x v="0"/>
    <s v="Neutral"/>
    <x v="2"/>
    <s v="Not sure"/>
    <s v="No"/>
    <s v="Neutral"/>
    <x v="1"/>
    <s v="No"/>
  </r>
  <r>
    <x v="1"/>
    <s v="20 -23"/>
    <x v="2"/>
    <x v="1"/>
    <x v="0"/>
    <x v="2"/>
    <s v="Lecturers"/>
    <x v="0"/>
    <x v="1"/>
    <s v="WhatsApp"/>
    <x v="0"/>
    <s v="Very effective"/>
    <x v="0"/>
    <s v="Very comfortable"/>
    <x v="0"/>
    <s v="Yes"/>
    <s v="No"/>
    <s v="Very trustworthy"/>
    <x v="0"/>
    <s v="Yes"/>
  </r>
  <r>
    <x v="1"/>
    <s v="24 -27"/>
    <x v="2"/>
    <x v="1"/>
    <x v="3"/>
    <x v="4"/>
    <s v="Social media &amp; Friends/peers"/>
    <x v="0"/>
    <x v="1"/>
    <s v="WhatsApp"/>
    <x v="3"/>
    <s v="Neutral"/>
    <x v="0"/>
    <s v="Neutral"/>
    <x v="2"/>
    <s v="No"/>
    <s v="Yes"/>
    <s v="Neutral"/>
    <x v="0"/>
    <s v="Yes"/>
  </r>
  <r>
    <x v="0"/>
    <s v="24 -27"/>
    <x v="2"/>
    <x v="1"/>
    <x v="2"/>
    <x v="0"/>
    <s v="Friends/peers"/>
    <x v="1"/>
    <x v="1"/>
    <s v="Twitter (X)"/>
    <x v="1"/>
    <s v="Neutral"/>
    <x v="0"/>
    <s v="Very comfortable"/>
    <x v="2"/>
    <s v="Yes"/>
    <s v="Yes"/>
    <s v="Neutral"/>
    <x v="2"/>
    <s v="Yes"/>
  </r>
  <r>
    <x v="0"/>
    <s v="16 -19"/>
    <x v="0"/>
    <x v="1"/>
    <x v="1"/>
    <x v="0"/>
    <s v="Social media"/>
    <x v="0"/>
    <x v="1"/>
    <s v="WhatsApp"/>
    <x v="0"/>
    <s v="Very effective"/>
    <x v="0"/>
    <s v="Very comfortable"/>
    <x v="2"/>
    <s v="No"/>
    <s v="No"/>
    <s v="Very trustworthy"/>
    <x v="0"/>
    <s v="Yes"/>
  </r>
  <r>
    <x v="0"/>
    <s v="20 -23"/>
    <x v="2"/>
    <x v="1"/>
    <x v="2"/>
    <x v="2"/>
    <s v="Social media"/>
    <x v="0"/>
    <x v="1"/>
    <s v="Instagram"/>
    <x v="3"/>
    <s v="Effective"/>
    <x v="0"/>
    <s v="Comfortable"/>
    <x v="0"/>
    <s v="Yes"/>
    <s v="Yes"/>
    <s v="Trustworthy"/>
    <x v="0"/>
    <s v="Yes"/>
  </r>
  <r>
    <x v="0"/>
    <s v="20 -23"/>
    <x v="4"/>
    <x v="1"/>
    <x v="2"/>
    <x v="4"/>
    <s v="Social media"/>
    <x v="0"/>
    <x v="0"/>
    <s v="I have not seen any"/>
    <x v="0"/>
    <s v="Very effective"/>
    <x v="0"/>
    <s v="Very comfortable"/>
    <x v="0"/>
    <s v="Yes"/>
    <s v="Yes"/>
    <s v="Very trustworthy"/>
    <x v="0"/>
    <s v="Yes"/>
  </r>
  <r>
    <x v="1"/>
    <s v="24 -27"/>
    <x v="3"/>
    <x v="1"/>
    <x v="2"/>
    <x v="2"/>
    <s v="Social media"/>
    <x v="1"/>
    <x v="1"/>
    <s v="Twitter (X)"/>
    <x v="0"/>
    <s v="Very effective"/>
    <x v="0"/>
    <s v="Comfortable"/>
    <x v="0"/>
    <s v="Yes"/>
    <s v="Yes"/>
    <s v="Trustworthy"/>
    <x v="0"/>
    <s v="Yes"/>
  </r>
  <r>
    <x v="0"/>
    <s v="24 -27"/>
    <x v="3"/>
    <x v="0"/>
    <x v="4"/>
    <x v="4"/>
    <s v="Friends/peers"/>
    <x v="0"/>
    <x v="0"/>
    <s v="I have not seen any"/>
    <x v="1"/>
    <s v="Neutral"/>
    <x v="0"/>
    <s v="Comfortable"/>
    <x v="0"/>
    <s v="Yes"/>
    <s v="Yes"/>
    <s v="Trustworthy"/>
    <x v="0"/>
    <s v="No"/>
  </r>
  <r>
    <x v="1"/>
    <s v="28 and above"/>
    <x v="4"/>
    <x v="0"/>
    <x v="1"/>
    <x v="5"/>
    <s v="Friends/peers"/>
    <x v="4"/>
    <x v="0"/>
    <s v="Facebook"/>
    <x v="1"/>
    <s v="Ineffective"/>
    <x v="2"/>
    <s v="Uncomfortable"/>
    <x v="2"/>
    <s v="Yes"/>
    <s v="No"/>
    <s v="Neutral"/>
    <x v="0"/>
    <s v="No"/>
  </r>
  <r>
    <x v="1"/>
    <s v="20 -23"/>
    <x v="4"/>
    <x v="1"/>
    <x v="1"/>
    <x v="1"/>
    <s v="Friends/peers"/>
    <x v="0"/>
    <x v="0"/>
    <s v="Facebook"/>
    <x v="2"/>
    <s v="Ineffective"/>
    <x v="2"/>
    <s v="Uncomfortable"/>
    <x v="1"/>
    <s v="Not sure"/>
    <s v="No"/>
    <s v="Neutral"/>
    <x v="0"/>
    <s v="No"/>
  </r>
  <r>
    <x v="0"/>
    <s v="20 -23"/>
    <x v="4"/>
    <x v="1"/>
    <x v="1"/>
    <x v="1"/>
    <s v="Social media"/>
    <x v="0"/>
    <x v="0"/>
    <s v="Facebook"/>
    <x v="2"/>
    <s v="Ineffective"/>
    <x v="2"/>
    <s v="Uncomfortable"/>
    <x v="1"/>
    <s v="Not sure"/>
    <s v="No"/>
    <s v="Neutral"/>
    <x v="0"/>
    <s v="Yes"/>
  </r>
  <r>
    <x v="0"/>
    <s v="16 -19"/>
    <x v="4"/>
    <x v="1"/>
    <x v="1"/>
    <x v="1"/>
    <s v="Social media"/>
    <x v="0"/>
    <x v="0"/>
    <s v="I have not seen any"/>
    <x v="2"/>
    <s v="Neutral"/>
    <x v="2"/>
    <s v="Uncomfortable"/>
    <x v="0"/>
    <s v="No"/>
    <s v="No"/>
    <s v="Neutral"/>
    <x v="0"/>
    <s v="No"/>
  </r>
  <r>
    <x v="0"/>
    <s v="16 -19"/>
    <x v="4"/>
    <x v="1"/>
    <x v="2"/>
    <x v="5"/>
    <s v="Social media &amp; Friends/peers"/>
    <x v="0"/>
    <x v="0"/>
    <s v="WhatsApp"/>
    <x v="2"/>
    <s v="Ineffective"/>
    <x v="2"/>
    <s v="Uncomfortable"/>
    <x v="1"/>
    <s v="No"/>
    <s v="No"/>
    <s v="Neutral"/>
    <x v="0"/>
    <s v="No"/>
  </r>
  <r>
    <x v="0"/>
    <s v="20 -23"/>
    <x v="4"/>
    <x v="0"/>
    <x v="1"/>
    <x v="1"/>
    <s v="Friends/peers"/>
    <x v="0"/>
    <x v="0"/>
    <s v="WhatsApp"/>
    <x v="2"/>
    <s v="Neutral"/>
    <x v="1"/>
    <s v="Neutral"/>
    <x v="2"/>
    <s v="No"/>
    <s v="No"/>
    <s v="Neutral"/>
    <x v="0"/>
    <s v="No"/>
  </r>
  <r>
    <x v="0"/>
    <s v="20 -23"/>
    <x v="4"/>
    <x v="0"/>
    <x v="2"/>
    <x v="5"/>
    <s v="Social media"/>
    <x v="0"/>
    <x v="0"/>
    <s v="WhatsApp"/>
    <x v="2"/>
    <s v="Ineffective"/>
    <x v="0"/>
    <s v="Uncomfortable"/>
    <x v="0"/>
    <s v="No"/>
    <s v="No"/>
    <s v="Neutral"/>
    <x v="0"/>
    <s v="No"/>
  </r>
  <r>
    <x v="0"/>
    <s v="20 -23"/>
    <x v="4"/>
    <x v="0"/>
    <x v="1"/>
    <x v="5"/>
    <s v="Social media"/>
    <x v="0"/>
    <x v="0"/>
    <s v="I have not seen any"/>
    <x v="2"/>
    <s v="Ineffective"/>
    <x v="1"/>
    <s v="Uncomfortable"/>
    <x v="1"/>
    <s v="No"/>
    <s v="No"/>
    <s v="Neutral"/>
    <x v="0"/>
    <s v="No"/>
  </r>
  <r>
    <x v="1"/>
    <s v="20 -23"/>
    <x v="4"/>
    <x v="0"/>
    <x v="4"/>
    <x v="1"/>
    <s v="Friends/peers"/>
    <x v="0"/>
    <x v="0"/>
    <s v="WhatsApp"/>
    <x v="4"/>
    <s v="Very ineffective"/>
    <x v="0"/>
    <s v="Uncomfortable"/>
    <x v="1"/>
    <s v="Not sure"/>
    <s v="No"/>
    <s v="Untrustworthy"/>
    <x v="2"/>
    <s v="No"/>
  </r>
  <r>
    <x v="1"/>
    <s v="20 -23"/>
    <x v="4"/>
    <x v="0"/>
    <x v="4"/>
    <x v="1"/>
    <s v="Social media"/>
    <x v="4"/>
    <x v="0"/>
    <s v="I have not seen any"/>
    <x v="4"/>
    <s v="Neutral"/>
    <x v="1"/>
    <s v="Very uncomfortable"/>
    <x v="1"/>
    <s v="No"/>
    <s v="No"/>
    <s v="Untrustworthy"/>
    <x v="2"/>
    <s v="No"/>
  </r>
  <r>
    <x v="1"/>
    <s v="20 -23"/>
    <x v="4"/>
    <x v="0"/>
    <x v="1"/>
    <x v="1"/>
    <s v="Friends/peers"/>
    <x v="0"/>
    <x v="0"/>
    <s v="WhatsApp"/>
    <x v="4"/>
    <s v="Very effective"/>
    <x v="1"/>
    <s v="Very uncomfortable"/>
    <x v="1"/>
    <s v="No"/>
    <s v="No"/>
    <s v="Untrustworthy"/>
    <x v="2"/>
    <s v="No"/>
  </r>
  <r>
    <x v="0"/>
    <s v="16 -19"/>
    <x v="4"/>
    <x v="0"/>
    <x v="1"/>
    <x v="1"/>
    <s v="School orientation"/>
    <x v="0"/>
    <x v="0"/>
    <s v="WhatsApp"/>
    <x v="2"/>
    <s v="Ineffective"/>
    <x v="0"/>
    <s v="Uncomfortable"/>
    <x v="1"/>
    <s v="No"/>
    <s v="No"/>
    <s v="Untrustworthy"/>
    <x v="2"/>
    <s v="No"/>
  </r>
  <r>
    <x v="1"/>
    <s v="20 -23"/>
    <x v="4"/>
    <x v="0"/>
    <x v="1"/>
    <x v="1"/>
    <s v="Friends/peers"/>
    <x v="0"/>
    <x v="0"/>
    <s v="WhatsApp"/>
    <x v="2"/>
    <s v="Ineffective"/>
    <x v="2"/>
    <s v="Uncomfortable"/>
    <x v="2"/>
    <s v="No"/>
    <s v="No"/>
    <s v="Neutral"/>
    <x v="2"/>
    <s v="No"/>
  </r>
  <r>
    <x v="0"/>
    <s v="16 -19"/>
    <x v="4"/>
    <x v="0"/>
    <x v="1"/>
    <x v="4"/>
    <s v="Friends/peers"/>
    <x v="4"/>
    <x v="0"/>
    <s v="WhatsApp"/>
    <x v="1"/>
    <s v="Ineffective"/>
    <x v="2"/>
    <s v="Uncomfortable"/>
    <x v="0"/>
    <s v="No"/>
    <s v="No"/>
    <s v="Neutral"/>
    <x v="2"/>
    <s v="No"/>
  </r>
  <r>
    <x v="1"/>
    <s v="24 -27"/>
    <x v="4"/>
    <x v="0"/>
    <x v="2"/>
    <x v="0"/>
    <s v="School orientation"/>
    <x v="0"/>
    <x v="0"/>
    <s v="I have not seen any"/>
    <x v="2"/>
    <s v="Ineffective"/>
    <x v="0"/>
    <s v="Neutral"/>
    <x v="0"/>
    <s v="No"/>
    <s v="No"/>
    <s v="Neutral"/>
    <x v="2"/>
    <s v="Yes"/>
  </r>
  <r>
    <x v="0"/>
    <s v="20 -23"/>
    <x v="4"/>
    <x v="1"/>
    <x v="2"/>
    <x v="0"/>
    <s v="Friends/peers"/>
    <x v="0"/>
    <x v="0"/>
    <s v="I have not seen any"/>
    <x v="1"/>
    <s v="Neutral"/>
    <x v="0"/>
    <s v="Comfortable"/>
    <x v="0"/>
    <s v="No"/>
    <s v="No"/>
    <s v="Trustworthy"/>
    <x v="0"/>
    <s v="Yes"/>
  </r>
  <r>
    <x v="0"/>
    <s v="20 -23"/>
    <x v="2"/>
    <x v="0"/>
    <x v="4"/>
    <x v="1"/>
    <s v="Friends/peers"/>
    <x v="2"/>
    <x v="0"/>
    <s v="I have not seen any"/>
    <x v="1"/>
    <s v="Ineffective"/>
    <x v="0"/>
    <s v="Comfortable"/>
    <x v="1"/>
    <s v="Not sure"/>
    <s v="No"/>
    <s v="Neutral"/>
    <x v="0"/>
    <s v="No"/>
  </r>
  <r>
    <x v="1"/>
    <s v="20 -23"/>
    <x v="4"/>
    <x v="0"/>
    <x v="1"/>
    <x v="1"/>
    <s v="Social media"/>
    <x v="0"/>
    <x v="0"/>
    <s v="I have not seen any"/>
    <x v="2"/>
    <s v="Ineffective"/>
    <x v="1"/>
    <s v="Uncomfortable"/>
    <x v="2"/>
    <s v="No"/>
    <s v="No"/>
    <s v="Untrustworthy"/>
    <x v="1"/>
    <s v="No"/>
  </r>
  <r>
    <x v="0"/>
    <s v="16 -19"/>
    <x v="4"/>
    <x v="0"/>
    <x v="1"/>
    <x v="5"/>
    <s v="Social media"/>
    <x v="0"/>
    <x v="0"/>
    <s v="WhatsApp"/>
    <x v="2"/>
    <s v="Ineffective"/>
    <x v="0"/>
    <s v="Uncomfortable"/>
    <x v="0"/>
    <s v="No"/>
    <s v="No"/>
    <s v="Neutral"/>
    <x v="2"/>
    <s v="No"/>
  </r>
  <r>
    <x v="0"/>
    <s v="20 -23"/>
    <x v="4"/>
    <x v="0"/>
    <x v="1"/>
    <x v="1"/>
    <s v="Social media"/>
    <x v="0"/>
    <x v="0"/>
    <s v="WhatsApp"/>
    <x v="2"/>
    <s v="Ineffective"/>
    <x v="2"/>
    <s v="Uncomfortable"/>
    <x v="2"/>
    <s v="No"/>
    <s v="No"/>
    <s v="Untrustworthy"/>
    <x v="2"/>
    <s v="No"/>
  </r>
  <r>
    <x v="0"/>
    <s v="20 -23"/>
    <x v="3"/>
    <x v="1"/>
    <x v="3"/>
    <x v="2"/>
    <s v="Social media"/>
    <x v="0"/>
    <x v="1"/>
    <s v="Tik Tok"/>
    <x v="3"/>
    <s v="Effective"/>
    <x v="0"/>
    <s v="Very comfortable"/>
    <x v="1"/>
    <s v="Not sure"/>
    <s v="No"/>
    <s v="Trustworthy"/>
    <x v="0"/>
    <s v="No"/>
  </r>
  <r>
    <x v="1"/>
    <s v="24 -27"/>
    <x v="1"/>
    <x v="1"/>
    <x v="2"/>
    <x v="5"/>
    <s v="Social media"/>
    <x v="0"/>
    <x v="0"/>
    <s v="Facebook"/>
    <x v="2"/>
    <s v="Ineffective"/>
    <x v="2"/>
    <s v="Uncomfortable"/>
    <x v="2"/>
    <s v="No"/>
    <s v="No"/>
    <s v="Neutral"/>
    <x v="2"/>
    <s v="No"/>
  </r>
  <r>
    <x v="0"/>
    <s v="20 -23"/>
    <x v="1"/>
    <x v="0"/>
    <x v="1"/>
    <x v="5"/>
    <s v="Social media"/>
    <x v="0"/>
    <x v="0"/>
    <s v="I have not seen any"/>
    <x v="2"/>
    <s v="Ineffective"/>
    <x v="0"/>
    <s v="Uncomfortable"/>
    <x v="2"/>
    <s v="No"/>
    <s v="No"/>
    <s v="Untrustworthy"/>
    <x v="2"/>
    <s v="No"/>
  </r>
  <r>
    <x v="1"/>
    <s v="24 -27"/>
    <x v="1"/>
    <x v="1"/>
    <x v="2"/>
    <x v="5"/>
    <s v="Social media"/>
    <x v="0"/>
    <x v="0"/>
    <s v="I have not seen any"/>
    <x v="2"/>
    <s v="Ineffective"/>
    <x v="0"/>
    <s v="Very comfortable"/>
    <x v="2"/>
    <s v="No"/>
    <s v="No"/>
    <s v="Untrustworthy"/>
    <x v="2"/>
    <s v="No"/>
  </r>
  <r>
    <x v="0"/>
    <s v="20 -23"/>
    <x v="1"/>
    <x v="0"/>
    <x v="1"/>
    <x v="1"/>
    <s v="Social media"/>
    <x v="0"/>
    <x v="0"/>
    <s v="I have not seen any"/>
    <x v="4"/>
    <s v="Ineffective"/>
    <x v="2"/>
    <s v="Uncomfortable"/>
    <x v="2"/>
    <s v="No"/>
    <s v="No"/>
    <s v="Untrustworthy"/>
    <x v="2"/>
    <s v="No"/>
  </r>
  <r>
    <x v="0"/>
    <s v="20 -23"/>
    <x v="1"/>
    <x v="1"/>
    <x v="3"/>
    <x v="2"/>
    <s v="Social media"/>
    <x v="0"/>
    <x v="1"/>
    <s v="WhatsApp"/>
    <x v="3"/>
    <s v="Effective"/>
    <x v="0"/>
    <s v="Comfortable"/>
    <x v="0"/>
    <s v="Yes"/>
    <s v="Yes"/>
    <s v="Trustworthy"/>
    <x v="0"/>
    <s v="Yes"/>
  </r>
  <r>
    <x v="1"/>
    <s v="24 -27"/>
    <x v="1"/>
    <x v="1"/>
    <x v="2"/>
    <x v="0"/>
    <s v="Social media"/>
    <x v="1"/>
    <x v="1"/>
    <s v="Twitter (X)"/>
    <x v="3"/>
    <s v="Effective"/>
    <x v="0"/>
    <s v="Very comfortable"/>
    <x v="0"/>
    <s v="Yes"/>
    <s v="Yes"/>
    <s v="Very trustworthy"/>
    <x v="0"/>
    <s v="Yes"/>
  </r>
  <r>
    <x v="0"/>
    <s v="20 -23"/>
    <x v="1"/>
    <x v="1"/>
    <x v="3"/>
    <x v="0"/>
    <s v="Social media"/>
    <x v="2"/>
    <x v="1"/>
    <s v="Instagram"/>
    <x v="3"/>
    <s v="Very effective"/>
    <x v="0"/>
    <s v="Very comfortable"/>
    <x v="0"/>
    <s v="Yes"/>
    <s v="Yes"/>
    <s v="Very trustworthy"/>
    <x v="0"/>
    <s v="Yes"/>
  </r>
  <r>
    <x v="1"/>
    <s v="20 -23"/>
    <x v="1"/>
    <x v="1"/>
    <x v="0"/>
    <x v="2"/>
    <s v="Social media &amp; Friends/peers"/>
    <x v="3"/>
    <x v="1"/>
    <s v="Tik Tok"/>
    <x v="1"/>
    <s v="Effective"/>
    <x v="0"/>
    <s v="Very comfortable"/>
    <x v="0"/>
    <s v="Yes"/>
    <s v="Yes"/>
    <s v="Very trustworthy"/>
    <x v="0"/>
    <s v="Yes"/>
  </r>
  <r>
    <x v="0"/>
    <s v="24 -27"/>
    <x v="1"/>
    <x v="1"/>
    <x v="3"/>
    <x v="2"/>
    <s v="Social media"/>
    <x v="0"/>
    <x v="1"/>
    <s v="WhatsApp"/>
    <x v="3"/>
    <s v="Very effective"/>
    <x v="0"/>
    <s v="Very comfortable"/>
    <x v="0"/>
    <s v="Yes"/>
    <s v="Yes"/>
    <s v="Very trustworthy"/>
    <x v="0"/>
    <s v="Yes"/>
  </r>
  <r>
    <x v="0"/>
    <s v="24 -27"/>
    <x v="1"/>
    <x v="1"/>
    <x v="2"/>
    <x v="1"/>
    <s v="Social media"/>
    <x v="1"/>
    <x v="1"/>
    <s v="Twitter (X)"/>
    <x v="3"/>
    <s v="Effective"/>
    <x v="0"/>
    <s v="Comfortable"/>
    <x v="0"/>
    <s v="Yes"/>
    <s v="Yes"/>
    <s v="Trustworthy"/>
    <x v="0"/>
    <s v="Yes"/>
  </r>
  <r>
    <x v="1"/>
    <s v="20 -23"/>
    <x v="1"/>
    <x v="1"/>
    <x v="1"/>
    <x v="2"/>
    <s v="Friends/peers"/>
    <x v="1"/>
    <x v="1"/>
    <s v="Twitter (X)"/>
    <x v="3"/>
    <s v="Neutral"/>
    <x v="0"/>
    <s v="Comfortable"/>
    <x v="0"/>
    <s v="Yes"/>
    <s v="Yes"/>
    <s v="Neutral"/>
    <x v="0"/>
    <s v="Yes"/>
  </r>
  <r>
    <x v="0"/>
    <s v="20 -23"/>
    <x v="1"/>
    <x v="1"/>
    <x v="3"/>
    <x v="2"/>
    <s v="Social media"/>
    <x v="0"/>
    <x v="1"/>
    <s v="WhatsApp"/>
    <x v="0"/>
    <s v="Very effective"/>
    <x v="0"/>
    <s v="Very comfortable"/>
    <x v="0"/>
    <s v="Yes"/>
    <s v="Yes"/>
    <s v="Very trustworthy"/>
    <x v="0"/>
    <s v="Yes"/>
  </r>
  <r>
    <x v="0"/>
    <s v="20 -23"/>
    <x v="1"/>
    <x v="1"/>
    <x v="0"/>
    <x v="0"/>
    <s v="Social media"/>
    <x v="1"/>
    <x v="1"/>
    <s v="Twitter (X)"/>
    <x v="0"/>
    <s v="Very effective"/>
    <x v="0"/>
    <s v="Very comfortable"/>
    <x v="0"/>
    <s v="Yes"/>
    <s v="Yes"/>
    <s v="Very trustworthy"/>
    <x v="0"/>
    <s v="Yes"/>
  </r>
  <r>
    <x v="0"/>
    <s v="20 -23"/>
    <x v="4"/>
    <x v="1"/>
    <x v="0"/>
    <x v="4"/>
    <s v="Social media"/>
    <x v="2"/>
    <x v="1"/>
    <s v="Instagram"/>
    <x v="0"/>
    <s v="Very effective"/>
    <x v="0"/>
    <s v="Very comfortable"/>
    <x v="0"/>
    <s v="Yes"/>
    <s v="Yes"/>
    <s v="Very trustworthy"/>
    <x v="0"/>
    <s v="Yes"/>
  </r>
  <r>
    <x v="1"/>
    <s v="24 -27"/>
    <x v="3"/>
    <x v="1"/>
    <x v="0"/>
    <x v="4"/>
    <s v="Social media"/>
    <x v="0"/>
    <x v="1"/>
    <s v="Instagram &amp; Twitter (X)"/>
    <x v="0"/>
    <s v="Very effective"/>
    <x v="0"/>
    <s v="Very comfortable"/>
    <x v="0"/>
    <s v="Yes"/>
    <s v="Yes"/>
    <s v="Very trustworthy"/>
    <x v="0"/>
    <s v="Yes"/>
  </r>
  <r>
    <x v="1"/>
    <s v="24 -27"/>
    <x v="1"/>
    <x v="1"/>
    <x v="0"/>
    <x v="0"/>
    <s v="Lecturers"/>
    <x v="1"/>
    <x v="1"/>
    <s v="Tik Tok"/>
    <x v="0"/>
    <s v="Very effective"/>
    <x v="0"/>
    <s v="Very comfortable"/>
    <x v="0"/>
    <s v="Yes"/>
    <s v="Yes"/>
    <s v="Very trustworthy"/>
    <x v="0"/>
    <s v="Yes"/>
  </r>
  <r>
    <x v="1"/>
    <s v="24 -27"/>
    <x v="1"/>
    <x v="1"/>
    <x v="0"/>
    <x v="0"/>
    <s v="Social media"/>
    <x v="1"/>
    <x v="1"/>
    <s v="Twitter (X)"/>
    <x v="0"/>
    <s v="Very effective"/>
    <x v="0"/>
    <s v="Very comfortable"/>
    <x v="0"/>
    <s v="Yes"/>
    <s v="Yes"/>
    <s v="Very trustworthy"/>
    <x v="0"/>
    <s v="Yes"/>
  </r>
  <r>
    <x v="1"/>
    <s v="24 -27"/>
    <x v="1"/>
    <x v="1"/>
    <x v="0"/>
    <x v="0"/>
    <s v="Lecturers"/>
    <x v="4"/>
    <x v="1"/>
    <s v="Facebook"/>
    <x v="0"/>
    <s v="Very effective"/>
    <x v="0"/>
    <s v="Very comfortable"/>
    <x v="0"/>
    <s v="Yes"/>
    <s v="Yes"/>
    <s v="Very trustworthy"/>
    <x v="0"/>
    <s v="Yes"/>
  </r>
  <r>
    <x v="0"/>
    <s v="20 -23"/>
    <x v="0"/>
    <x v="0"/>
    <x v="2"/>
    <x v="3"/>
    <s v="Social media"/>
    <x v="2"/>
    <x v="0"/>
    <s v="I have not seen any"/>
    <x v="2"/>
    <s v="Neutral"/>
    <x v="0"/>
    <s v="Comfortable"/>
    <x v="0"/>
    <s v="Not sure"/>
    <s v="No"/>
    <s v="Trustworthy"/>
    <x v="0"/>
    <s v="Yes"/>
  </r>
  <r>
    <x v="0"/>
    <s v="20 -23"/>
    <x v="0"/>
    <x v="0"/>
    <x v="2"/>
    <x v="3"/>
    <s v="Social media"/>
    <x v="2"/>
    <x v="0"/>
    <s v="I have not seen any"/>
    <x v="1"/>
    <s v="Effective"/>
    <x v="0"/>
    <s v="Comfortable"/>
    <x v="0"/>
    <s v="Yes"/>
    <s v="No"/>
    <s v="Trustworthy"/>
    <x v="0"/>
    <s v="No"/>
  </r>
  <r>
    <x v="0"/>
    <s v="20 -23"/>
    <x v="0"/>
    <x v="1"/>
    <x v="2"/>
    <x v="3"/>
    <s v="Social media"/>
    <x v="2"/>
    <x v="0"/>
    <s v="I have not seen any"/>
    <x v="1"/>
    <s v="Effective"/>
    <x v="0"/>
    <s v="Comfortable"/>
    <x v="0"/>
    <s v="Yes"/>
    <s v="No"/>
    <s v="Trustworthy"/>
    <x v="0"/>
    <s v="No"/>
  </r>
  <r>
    <x v="0"/>
    <s v="20 -23"/>
    <x v="1"/>
    <x v="0"/>
    <x v="3"/>
    <x v="0"/>
    <s v="Social media"/>
    <x v="0"/>
    <x v="0"/>
    <s v="WhatsApp"/>
    <x v="3"/>
    <s v="Neutral"/>
    <x v="0"/>
    <s v="Comfortable"/>
    <x v="0"/>
    <s v="No"/>
    <s v="No"/>
    <s v="Trustworthy"/>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3806D-D654-4CCE-A0D7-52A6F3EDA3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4:B57" firstHeaderRow="1" firstDataRow="1" firstDataCol="1"/>
  <pivotFields count="2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wareness_Of_Reporting_Channels" fld="3" subtotal="count" baseField="0" baseItem="0"/>
  </dataFields>
  <formats count="6">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C9ECD-14F3-46F3-9075-E0F00A410E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5:G8" firstHeaderRow="1" firstDataRow="1" firstDataCol="1"/>
  <pivotFields count="20">
    <pivotField showAll="0"/>
    <pivotField showAll="0"/>
    <pivotField showAll="0"/>
    <pivotField axis="axisRow" dataField="1" showAll="0">
      <items count="3">
        <item x="0"/>
        <item x="1"/>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wareness_Of_Reporting_Channels" fld="3" subtotal="count" baseField="0" baseItem="0"/>
  </dataFields>
  <formats count="6">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67F9F-7107-4549-A5DC-9BDCAFD55C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C16"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s>
  <rowFields count="1">
    <field x="18"/>
  </rowFields>
  <rowItems count="4">
    <i>
      <x/>
    </i>
    <i>
      <x v="1"/>
    </i>
    <i>
      <x v="2"/>
    </i>
    <i t="grand">
      <x/>
    </i>
  </rowItems>
  <colItems count="1">
    <i/>
  </colItems>
  <dataFields count="1">
    <dataField name="Count of Anonymity_Influence" fld="18" subtotal="count" baseField="0" baseItem="0"/>
  </dataFields>
  <formats count="6">
    <format dxfId="27">
      <pivotArea type="all" dataOnly="0" outline="0" fieldPosition="0"/>
    </format>
    <format dxfId="26">
      <pivotArea outline="0" collapsedLevelsAreSubtotals="1" fieldPosition="0"/>
    </format>
    <format dxfId="25">
      <pivotArea field="18" type="button" dataOnly="0" labelOnly="1" outline="0" axis="axisRow" fieldPosition="0"/>
    </format>
    <format dxfId="24">
      <pivotArea dataOnly="0" labelOnly="1" fieldPosition="0">
        <references count="1">
          <reference field="18"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6A722A-2059-40A2-AE36-8199E26E91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2:H39" firstHeaderRow="1" firstDataRow="1" firstDataCol="1"/>
  <pivotFields count="20">
    <pivotField showAll="0"/>
    <pivotField showAll="0"/>
    <pivotField showAll="0"/>
    <pivotField showAll="0"/>
    <pivotField showAll="0"/>
    <pivotField axis="axisRow" dataField="1" showAll="0">
      <items count="7">
        <item x="3"/>
        <item x="4"/>
        <item x="5"/>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Reporting_Channels" fld="5" subtotal="count" baseField="0" baseItem="0"/>
  </dataFields>
  <formats count="6">
    <format dxfId="33">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fieldPosition="0">
        <references count="1">
          <reference field="5"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BB063-15C2-492F-B625-A35A25E8F5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43:H49" firstHeaderRow="1" firstDataRow="1" firstDataCol="1"/>
  <pivotFields count="20">
    <pivotField showAll="0"/>
    <pivotField showAll="0"/>
    <pivotField showAll="0"/>
    <pivotField showAll="0"/>
    <pivotField showAll="0">
      <items count="6">
        <item x="3"/>
        <item x="1"/>
        <item x="2"/>
        <item x="0"/>
        <item x="4"/>
        <item t="default"/>
      </items>
    </pivotField>
    <pivotField showAll="0"/>
    <pivotField showAll="0"/>
    <pivotField axis="axisRow" dataField="1" showAll="0">
      <items count="6">
        <item x="4"/>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ocial Media Platform" fld="7" subtotal="count" baseField="0" baseItem="0"/>
  </dataFields>
  <formats count="6">
    <format dxfId="39">
      <pivotArea type="all" dataOnly="0" outline="0" fieldPosition="0"/>
    </format>
    <format dxfId="38">
      <pivotArea outline="0" collapsedLevelsAreSubtotals="1" fieldPosition="0"/>
    </format>
    <format dxfId="37">
      <pivotArea field="7" type="button" dataOnly="0" labelOnly="1" outline="0" axis="axisRow" fieldPosition="0"/>
    </format>
    <format dxfId="36">
      <pivotArea dataOnly="0" labelOnly="1" fieldPosition="0">
        <references count="1">
          <reference field="7" count="0"/>
        </references>
      </pivotArea>
    </format>
    <format dxfId="35">
      <pivotArea dataOnly="0" labelOnly="1" grandRow="1" outline="0" fieldPosition="0"/>
    </format>
    <format dxfId="34">
      <pivotArea dataOnly="0" labelOnly="1" outline="0" axis="axisValues" fieldPosition="0"/>
    </format>
  </formats>
  <chartFormats count="4">
    <chartFormat chart="3"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504A6B-5D1B-4258-982A-AE726D33D4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20">
    <pivotField axis="axisRow" dataField="1" showAll="0">
      <items count="4">
        <item x="0"/>
        <item x="1"/>
        <item x="2"/>
        <item t="default"/>
      </items>
    </pivotField>
    <pivotField showAll="0"/>
    <pivotField showAll="0"/>
    <pivotField showAll="0">
      <items count="3">
        <item x="0"/>
        <item x="1"/>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Count of Gender" fld="0" subtotal="count" baseField="0" baseItem="0"/>
  </dataFields>
  <formats count="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465DEE-7888-4510-886B-D171561D19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9:C25" firstHeaderRow="1" firstDataRow="1" firstDataCol="1"/>
  <pivotFields count="20">
    <pivotField showAll="0"/>
    <pivotField showAll="0"/>
    <pivotField axis="axisRow" dataField="1" showAll="0">
      <items count="6">
        <item x="0"/>
        <item x="4"/>
        <item x="3"/>
        <item x="2"/>
        <item x="1"/>
        <item t="default"/>
      </items>
    </pivotField>
    <pivotField showAll="0">
      <items count="3">
        <item x="0"/>
        <item x="1"/>
        <item t="default"/>
      </items>
    </pivotField>
    <pivotField showAll="0">
      <items count="6">
        <item x="3"/>
        <item x="1"/>
        <item x="2"/>
        <item x="0"/>
        <item x="4"/>
        <item t="default"/>
      </items>
    </pivotField>
    <pivotField showAll="0"/>
    <pivotField showAll="0"/>
    <pivotField showAll="0"/>
    <pivotField showAll="0">
      <items count="4">
        <item x="0"/>
        <item x="2"/>
        <item x="1"/>
        <item t="default"/>
      </items>
    </pivotField>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items count="4">
        <item x="2"/>
        <item x="1"/>
        <item x="0"/>
        <item t="default"/>
      </items>
    </pivotField>
    <pivotField showAll="0"/>
  </pivotFields>
  <rowFields count="1">
    <field x="2"/>
  </rowFields>
  <rowItems count="6">
    <i>
      <x/>
    </i>
    <i>
      <x v="1"/>
    </i>
    <i>
      <x v="2"/>
    </i>
    <i>
      <x v="3"/>
    </i>
    <i>
      <x v="4"/>
    </i>
    <i t="grand">
      <x/>
    </i>
  </rowItems>
  <colItems count="1">
    <i/>
  </colItems>
  <dataFields count="1">
    <dataField name="Count of Study_Level" fld="2" subtotal="count" baseField="0" baseItem="0"/>
  </dataFields>
  <formats count="6">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44CCB0-4E25-49A3-82A4-3EA648A2CD7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Exposure to awareness content">
  <location ref="G54:K59" firstHeaderRow="1" firstDataRow="2" firstDataCol="1"/>
  <pivotFields count="20">
    <pivotField showAll="0"/>
    <pivotField showAll="0"/>
    <pivotField showAll="0"/>
    <pivotField showAll="0">
      <items count="3">
        <item x="0"/>
        <item x="1"/>
        <item t="default"/>
      </items>
    </pivotField>
    <pivotField showAll="0">
      <items count="6">
        <item x="3"/>
        <item x="1"/>
        <item x="2"/>
        <item x="0"/>
        <item x="4"/>
        <item t="default"/>
      </items>
    </pivotField>
    <pivotField showAll="0"/>
    <pivotField showAll="0"/>
    <pivotField showAll="0"/>
    <pivotField axis="axisRow" showAll="0">
      <items count="4">
        <item x="0"/>
        <item x="2"/>
        <item x="1"/>
        <item t="default"/>
      </items>
    </pivotField>
    <pivotField showAll="0"/>
    <pivotField showAll="0"/>
    <pivotField showAll="0"/>
    <pivotField axis="axisCol" dataField="1" showAll="0">
      <items count="4">
        <item x="2"/>
        <item x="1"/>
        <item x="0"/>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Fields count="1">
    <field x="12"/>
  </colFields>
  <colItems count="4">
    <i>
      <x/>
    </i>
    <i>
      <x v="1"/>
    </i>
    <i>
      <x v="2"/>
    </i>
    <i t="grand">
      <x/>
    </i>
  </colItems>
  <dataFields count="1">
    <dataField name="Count of Reporting_Channel_Willingness" fld="12" subtotal="count" baseField="0" baseItem="0"/>
  </dataFields>
  <formats count="10">
    <format dxfId="61">
      <pivotArea type="all" dataOnly="0" outline="0" fieldPosition="0"/>
    </format>
    <format dxfId="60">
      <pivotArea outline="0" collapsedLevelsAreSubtotals="1" fieldPosition="0"/>
    </format>
    <format dxfId="59">
      <pivotArea type="origin" dataOnly="0" labelOnly="1" outline="0" fieldPosition="0"/>
    </format>
    <format dxfId="58">
      <pivotArea field="12" type="button" dataOnly="0" labelOnly="1" outline="0" axis="axisCol" fieldPosition="0"/>
    </format>
    <format dxfId="57">
      <pivotArea type="topRight" dataOnly="0" labelOnly="1" outline="0"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grandRow="1" outline="0" fieldPosition="0"/>
    </format>
    <format dxfId="53">
      <pivotArea dataOnly="0" labelOnly="1" fieldPosition="0">
        <references count="1">
          <reference field="12" count="0"/>
        </references>
      </pivotArea>
    </format>
    <format dxfId="52">
      <pivotArea dataOnly="0" labelOnly="1" grandCol="1" outline="0" fieldPosition="0"/>
    </format>
  </formats>
  <chartFormats count="2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4" format="3" series="1">
      <pivotArea type="data" outline="0" fieldPosition="0">
        <references count="2">
          <reference field="4294967294" count="1" selected="0">
            <x v="0"/>
          </reference>
          <reference field="12" count="1" selected="0">
            <x v="0"/>
          </reference>
        </references>
      </pivotArea>
    </chartFormat>
    <chartFormat chart="4" format="4" series="1">
      <pivotArea type="data" outline="0" fieldPosition="0">
        <references count="2">
          <reference field="4294967294" count="1" selected="0">
            <x v="0"/>
          </reference>
          <reference field="12" count="1" selected="0">
            <x v="1"/>
          </reference>
        </references>
      </pivotArea>
    </chartFormat>
    <chartFormat chart="4" format="5" series="1">
      <pivotArea type="data" outline="0" fieldPosition="0">
        <references count="2">
          <reference field="4294967294" count="1" selected="0">
            <x v="0"/>
          </reference>
          <reference field="12" count="1" selected="0">
            <x v="2"/>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 chart="9" format="12" series="1">
      <pivotArea type="data" outline="0" fieldPosition="0">
        <references count="2">
          <reference field="4294967294" count="1" selected="0">
            <x v="0"/>
          </reference>
          <reference field="12" count="1" selected="0">
            <x v="0"/>
          </reference>
        </references>
      </pivotArea>
    </chartFormat>
    <chartFormat chart="9" format="13" series="1">
      <pivotArea type="data" outline="0" fieldPosition="0">
        <references count="2">
          <reference field="4294967294" count="1" selected="0">
            <x v="0"/>
          </reference>
          <reference field="12" count="1" selected="0">
            <x v="1"/>
          </reference>
        </references>
      </pivotArea>
    </chartFormat>
    <chartFormat chart="9" format="14" series="1">
      <pivotArea type="data" outline="0" fieldPosition="0">
        <references count="2">
          <reference field="4294967294" count="1" selected="0">
            <x v="0"/>
          </reference>
          <reference field="12" count="1" selected="0">
            <x v="2"/>
          </reference>
        </references>
      </pivotArea>
    </chartFormat>
    <chartFormat chart="14" format="18" series="1">
      <pivotArea type="data" outline="0" fieldPosition="0">
        <references count="2">
          <reference field="4294967294" count="1" selected="0">
            <x v="0"/>
          </reference>
          <reference field="12" count="1" selected="0">
            <x v="0"/>
          </reference>
        </references>
      </pivotArea>
    </chartFormat>
    <chartFormat chart="14" format="19" series="1">
      <pivotArea type="data" outline="0" fieldPosition="0">
        <references count="2">
          <reference field="4294967294" count="1" selected="0">
            <x v="0"/>
          </reference>
          <reference field="12" count="1" selected="0">
            <x v="1"/>
          </reference>
        </references>
      </pivotArea>
    </chartFormat>
    <chartFormat chart="14" format="20" series="1">
      <pivotArea type="data" outline="0" fieldPosition="0">
        <references count="2">
          <reference field="4294967294" count="1" selected="0">
            <x v="0"/>
          </reference>
          <reference field="12" count="1" selected="0">
            <x v="2"/>
          </reference>
        </references>
      </pivotArea>
    </chartFormat>
    <chartFormat chart="19" format="15" series="1">
      <pivotArea type="data" outline="0" fieldPosition="0">
        <references count="2">
          <reference field="4294967294" count="1" selected="0">
            <x v="0"/>
          </reference>
          <reference field="12" count="1" selected="0">
            <x v="0"/>
          </reference>
        </references>
      </pivotArea>
    </chartFormat>
    <chartFormat chart="19" format="16" series="1">
      <pivotArea type="data" outline="0" fieldPosition="0">
        <references count="2">
          <reference field="4294967294" count="1" selected="0">
            <x v="0"/>
          </reference>
          <reference field="12" count="1" selected="0">
            <x v="1"/>
          </reference>
        </references>
      </pivotArea>
    </chartFormat>
    <chartFormat chart="19" format="17" series="1">
      <pivotArea type="data" outline="0" fieldPosition="0">
        <references count="2">
          <reference field="4294967294" count="1" selected="0">
            <x v="0"/>
          </reference>
          <reference field="12" count="1" selected="0">
            <x v="2"/>
          </reference>
        </references>
      </pivotArea>
    </chartFormat>
    <chartFormat chart="20" format="18" series="1">
      <pivotArea type="data" outline="0" fieldPosition="0">
        <references count="2">
          <reference field="4294967294" count="1" selected="0">
            <x v="0"/>
          </reference>
          <reference field="12" count="1" selected="0">
            <x v="0"/>
          </reference>
        </references>
      </pivotArea>
    </chartFormat>
    <chartFormat chart="20" format="19" series="1">
      <pivotArea type="data" outline="0" fieldPosition="0">
        <references count="2">
          <reference field="4294967294" count="1" selected="0">
            <x v="0"/>
          </reference>
          <reference field="12" count="1" selected="0">
            <x v="1"/>
          </reference>
        </references>
      </pivotArea>
    </chartFormat>
    <chartFormat chart="20" format="20"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C895A9-53AB-481C-A0A1-9C6044DA65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8:C35" firstHeaderRow="1" firstDataRow="1" firstDataCol="1"/>
  <pivotFields count="20">
    <pivotField showAll="0"/>
    <pivotField showAll="0"/>
    <pivotField showAll="0"/>
    <pivotField showAll="0"/>
    <pivotField showAll="0">
      <items count="6">
        <item x="3"/>
        <item x="1"/>
        <item x="2"/>
        <item x="0"/>
        <item x="4"/>
        <item t="default"/>
      </items>
    </pivotField>
    <pivotField axis="axisRow" dataField="1" showAll="0">
      <items count="7">
        <item x="3"/>
        <item x="4"/>
        <item x="5"/>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Reporting_Channels" fld="5" subtotal="count"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4B9127-6F90-46E1-8691-5FCD81CF574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8:F71" firstHeaderRow="1" firstDataRow="1" firstDataCol="1"/>
  <pivotFields count="2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wareness_Of_Reporting_Channels"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63A68E-006B-43B0-B14C-ED5DCF0A72C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64" firstHeaderRow="1" firstDataRow="1" firstDataCol="1"/>
  <pivotFields count="2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xposure to sexual awareness" fld="8" subtotal="count" baseField="0" baseItem="0"/>
  </dataFields>
  <formats count="6">
    <format dxfId="73">
      <pivotArea type="all" dataOnly="0" outline="0" fieldPosition="0"/>
    </format>
    <format dxfId="72">
      <pivotArea outline="0" collapsedLevelsAreSubtotals="1" fieldPosition="0"/>
    </format>
    <format dxfId="71">
      <pivotArea field="8" type="button" dataOnly="0" labelOnly="1" outline="0" axis="axisRow" fieldPosition="0"/>
    </format>
    <format dxfId="70">
      <pivotArea dataOnly="0" labelOnly="1" fieldPosition="0">
        <references count="1">
          <reference field="8" count="0"/>
        </references>
      </pivotArea>
    </format>
    <format dxfId="69">
      <pivotArea dataOnly="0" labelOnly="1" grandRow="1" outline="0"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B3ED9E-01EB-43AF-9AFF-BABB90829E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38:E45" firstHeaderRow="1" firstDataRow="2" firstDataCol="1"/>
  <pivotFields count="20">
    <pivotField showAll="0"/>
    <pivotField showAll="0"/>
    <pivotField axis="axisRow" showAll="0">
      <items count="6">
        <item x="0"/>
        <item x="4"/>
        <item x="3"/>
        <item x="2"/>
        <item x="1"/>
        <item t="default"/>
      </items>
    </pivotField>
    <pivotField axis="axisCol" dataField="1" showAll="0">
      <items count="3">
        <item x="0"/>
        <item x="1"/>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Awareness_Of_Reporting_Channels" fld="3" subtotal="count" baseField="0" baseItem="0"/>
  </dataFields>
  <formats count="10">
    <format dxfId="83">
      <pivotArea type="all" dataOnly="0" outline="0" fieldPosition="0"/>
    </format>
    <format dxfId="82">
      <pivotArea outline="0" collapsedLevelsAreSubtotals="1" fieldPosition="0"/>
    </format>
    <format dxfId="81">
      <pivotArea type="origin" dataOnly="0" labelOnly="1" outline="0" fieldPosition="0"/>
    </format>
    <format dxfId="80">
      <pivotArea field="3" type="button" dataOnly="0" labelOnly="1" outline="0" axis="axisCol" fieldPosition="0"/>
    </format>
    <format dxfId="79">
      <pivotArea type="topRight" dataOnly="0" labelOnly="1" outline="0"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dataOnly="0" labelOnly="1" fieldPosition="0">
        <references count="1">
          <reference field="3" count="0"/>
        </references>
      </pivotArea>
    </format>
    <format dxfId="74">
      <pivotArea dataOnly="0" labelOnly="1" grandCol="1" outline="0" fieldPosition="0"/>
    </format>
  </formats>
  <chartFormats count="6">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6" format="10" series="1">
      <pivotArea type="data" outline="0" fieldPosition="0">
        <references count="2">
          <reference field="4294967294" count="1" selected="0">
            <x v="0"/>
          </reference>
          <reference field="3" count="1" selected="0">
            <x v="1"/>
          </reference>
        </references>
      </pivotArea>
    </chartFormat>
    <chartFormat chart="17" format="1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20FABF-F0FE-41FB-8451-1DAA0CBFC7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4:H30"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Count of University_Communication_Clarity" fld="10" subtotal="count" baseField="0" baseItem="0"/>
  </dataFields>
  <formats count="6">
    <format dxfId="89">
      <pivotArea type="all" dataOnly="0" outline="0" fieldPosition="0"/>
    </format>
    <format dxfId="88">
      <pivotArea outline="0" collapsedLevelsAreSubtotals="1" fieldPosition="0"/>
    </format>
    <format dxfId="87">
      <pivotArea field="10" type="button" dataOnly="0" labelOnly="1" outline="0" axis="axisRow" fieldPosition="0"/>
    </format>
    <format dxfId="86">
      <pivotArea dataOnly="0" labelOnly="1" fieldPosition="0">
        <references count="1">
          <reference field="10"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13620F-C47A-4BDE-9BE9-0BEB99963F25}"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6A817B7-FFEE-42ED-963E-020757B28A85}" autoFormatId="16" applyNumberFormats="0" applyBorderFormats="0" applyFontFormats="0" applyPatternFormats="0" applyAlignmentFormats="0" applyWidthHeightFormats="0">
  <queryTableRefresh nextId="23">
    <queryTableFields count="20">
      <queryTableField id="2" name="Column2" tableColumnId="2"/>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DeletedFields count="2">
      <deletedField name="Column3"/>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eness_Of_Reporting_Channels" xr10:uid="{C8B95A04-59B2-49BE-9BDA-C99DA82995CF}" sourceName="Awareness_Of_Reporting_Channels">
  <pivotTables>
    <pivotTable tabId="1" name="PivotTable12"/>
    <pivotTable tabId="1" name="PivotTable1"/>
  </pivotTables>
  <data>
    <tabular pivotCacheId="18933670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Of_Awareness" xr10:uid="{6C7924EA-63B0-4F94-96EB-86C67A49C877}" sourceName="  Level_Of_Awareness">
  <pivotTables>
    <pivotTable tabId="1" name="PivotTable5"/>
    <pivotTable tabId="1" name="PivotTable1"/>
    <pivotTable tabId="1" name="PivotTable12"/>
    <pivotTable tabId="1" name="PivotTable2"/>
    <pivotTable tabId="1" name="PivotTable7"/>
    <pivotTable tabId="1" name="PivotTable8"/>
    <pivotTable tabId="1" name="PivotTable9"/>
  </pivotTables>
  <data>
    <tabular pivotCacheId="1893367015">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Channel_Willingness" xr10:uid="{3B8B1B12-F60C-43AC-A1D5-C39BA016F178}" sourceName="Reporting_Channel_Willingness">
  <pivotTables>
    <pivotTable tabId="1" name="PivotTable5"/>
  </pivotTables>
  <data>
    <tabular pivotCacheId="189336701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_official_Channel_Encourage_Students?" xr10:uid="{DDCB0F25-EBBA-422B-9D38-670B9B3A5E4A}" sourceName="Can_official_Channel_Encourage_Students?">
  <pivotTables>
    <pivotTable tabId="1" name="PivotTable5"/>
  </pivotTables>
  <data>
    <tabular pivotCacheId="189336701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nymity_Influence" xr10:uid="{4D4A0577-EA40-4851-9D51-D77071F3F389}" sourceName="Anonymity_Influence">
  <pivotTables>
    <pivotTable tabId="1" name="PivotTable5"/>
  </pivotTables>
  <data>
    <tabular pivotCacheId="189336701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eness_Of_Reporting_Channels1" xr10:uid="{EBC37018-A242-464A-AC9D-1F1DC4BA2CEB}" sourceName="Awareness_Of_Reporting_Channels">
  <pivotTables>
    <pivotTable tabId="1" name="PivotTable8"/>
  </pivotTables>
  <data>
    <tabular pivotCacheId="1893367015">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sure_to_sexual_awareness" xr10:uid="{296DDF35-C656-430F-93C8-1E2D0D881F36}" sourceName="Exposure to sexual awareness">
  <pivotTables>
    <pivotTable tabId="1" name="PivotTable5"/>
    <pivotTable tabId="1" name="PivotTable12"/>
  </pivotTables>
  <data>
    <tabular pivotCacheId="18933670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wareness_Of_Reporting_Channels 1" xr10:uid="{D4ECA86C-050D-4CBB-8644-88A60042D2AD}" cache="Slicer_Awareness_Of_Reporting_Channels1" caption="Awareness_Of_Reporting_Channel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wareness_Of_Reporting_Channels 2" xr10:uid="{34CBE805-C579-4472-997D-E84B85C550E1}" cache="Slicer_Awareness_Of_Reporting_Channels" caption="Awareness_Of_Reporting_Channels" columnCount="2" style="Slicer Style 2" rowHeight="241300"/>
  <slicer name="  Level_Of_Awareness 1" xr10:uid="{48304F8B-76AF-4561-8346-C4163AD2D193}" cache="Slicer_Level_Of_Awareness" caption="  Level_Of_Awareness" columnCount="5" style="Slicer Style 2" rowHeight="241300"/>
  <slicer name="Reporting_Channel_Willingness 1" xr10:uid="{A20396FE-1F29-486D-9E51-D307EE30E798}" cache="Slicer_Reporting_Channel_Willingness" caption="Reporting_Channel_Willingness" columnCount="3" style="Slicer Style 2" rowHeight="241300"/>
  <slicer name="Can_official_Channel_Encourage_Students? 1" xr10:uid="{378D2DA2-A488-47AE-895B-02076D90EF35}" cache="Slicer_Can_official_Channel_Encourage_Students?" caption="Can_official_Channel_Encourage_Students?" columnCount="3" style="Slicer Style 2" rowHeight="241300"/>
  <slicer name="Anonymity_Influence 1" xr10:uid="{363A79AD-31DB-4FCF-B41E-51C324ECDC12}" cache="Slicer_Anonymity_Influence" caption="Anonymity_Influence" columnCount="3" style="Slicer Style 2" rowHeight="241300"/>
  <slicer name="Exposure to sexual awareness 1" xr10:uid="{B9781E6B-73F0-42F6-81C9-42DF22E19C15}" cache="Slicer_Exposure_to_sexual_awareness" caption="Exposure to sexual awareness" columnCount="3"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wareness_Of_Reporting_Channels" xr10:uid="{E56D5828-D774-4334-86D2-D0E9EC1997DB}" cache="Slicer_Awareness_Of_Reporting_Channels" caption="Awareness_Of_Reporting_Channels" columnCount="2" style="Slicer Style 2" rowHeight="241300"/>
  <slicer name="  Level_Of_Awareness" xr10:uid="{0ECFDFF3-0323-4071-ADCF-E889D9D6417D}" cache="Slicer_Level_Of_Awareness" caption="  Level_Of_Awareness" columnCount="2" style="Slicer Style 2" rowHeight="241300"/>
  <slicer name="Reporting_Channel_Willingness" xr10:uid="{9EA3522D-8054-4FA8-828B-F4910C03FF1D}" cache="Slicer_Reporting_Channel_Willingness" caption="Reporting_Channel_Willingness" columnCount="3" style="Slicer Style 2" rowHeight="241300"/>
  <slicer name="Can_official_Channel_Encourage_Students?" xr10:uid="{29D274AF-9D16-4978-9B3B-8E478E3ADF20}" cache="Slicer_Can_official_Channel_Encourage_Students?" caption="Can_official_Channel_Encourage_Students?" columnCount="3" style="Slicer Style 2" rowHeight="241300"/>
  <slicer name="Anonymity_Influence" xr10:uid="{900B2B7B-73D6-4E3E-8EA9-C51D0DEAD786}" cache="Slicer_Anonymity_Influence" caption="Anonymity_Influence" columnCount="3" style="Slicer Style 2" rowHeight="241300"/>
  <slicer name="Exposure to sexual awareness" xr10:uid="{0C9F8FE5-7753-4A20-AEB6-D8CB1E2BF812}" cache="Slicer_Exposure_to_sexual_awareness" caption="Exposure to sexual awareness" columnCount="3"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D0D5E9-6FFE-40C2-AE57-4B6EC6A2F242}" name="INFLUENCE_OF_SOCIAL_MEDIA_ON_THE_AWARENESS_OF_CHANNELS_OF_REPORTAGE_OF_SEXUAL_HA3" displayName="INFLUENCE_OF_SOCIAL_MEDIA_ON_THE_AWARENESS_OF_CHANNELS_OF_REPORTAGE_OF_SEXUAL_HA3" ref="A1:V205" tableType="queryTable" totalsRowShown="0">
  <autoFilter ref="A1:V205" xr:uid="{94572454-B0F6-4A84-A3D0-16B42C8AAEA1}"/>
  <tableColumns count="22">
    <tableColumn id="1" xr3:uid="{6389B0DA-3873-4291-A5F4-02851704B494}" uniqueName="1" name="Column1" queryTableFieldId="1" dataDxfId="131"/>
    <tableColumn id="2" xr3:uid="{5A77D3A1-78C4-4045-8BA8-82DED664B00C}" uniqueName="2" name="Column2" queryTableFieldId="2" dataDxfId="130"/>
    <tableColumn id="3" xr3:uid="{2E16A351-32F9-41AD-8B2E-14B4F12C9F63}" uniqueName="3" name="Column3" queryTableFieldId="3" dataDxfId="129"/>
    <tableColumn id="4" xr3:uid="{9CB40C52-8892-4FA4-8997-606AE95DFF47}" uniqueName="4" name="Column4" queryTableFieldId="4" dataDxfId="128"/>
    <tableColumn id="5" xr3:uid="{C081E9F9-323E-40D6-83FA-15A9263649F1}" uniqueName="5" name="Column5" queryTableFieldId="5" dataDxfId="127"/>
    <tableColumn id="6" xr3:uid="{AE829FF3-97FE-4E84-8C07-4965E870FC6F}" uniqueName="6" name="Column6" queryTableFieldId="6" dataDxfId="126"/>
    <tableColumn id="7" xr3:uid="{F117D87A-A49D-42A6-A843-CB18245EFFD6}" uniqueName="7" name="Column7" queryTableFieldId="7" dataDxfId="125"/>
    <tableColumn id="8" xr3:uid="{DE7C286D-4274-439D-8B00-24F9441C76A7}" uniqueName="8" name="Column8" queryTableFieldId="8" dataDxfId="124"/>
    <tableColumn id="9" xr3:uid="{17AFCAEB-B089-4C70-84F7-87C100496F6F}" uniqueName="9" name="Column9" queryTableFieldId="9" dataDxfId="123"/>
    <tableColumn id="10" xr3:uid="{4D74D5C5-B510-4724-8020-FB898E63D2C5}" uniqueName="10" name="Column10" queryTableFieldId="10" dataDxfId="122"/>
    <tableColumn id="11" xr3:uid="{59192B08-1180-48EB-80FA-6ACD1EF30B85}" uniqueName="11" name="Column11" queryTableFieldId="11" dataDxfId="121"/>
    <tableColumn id="12" xr3:uid="{B32EB9F2-2DA0-4495-8738-1BB735F1B772}" uniqueName="12" name="Column12" queryTableFieldId="12" dataDxfId="120"/>
    <tableColumn id="13" xr3:uid="{1B124EA4-70CD-4360-86BF-7724F3B45CF8}" uniqueName="13" name="Column13" queryTableFieldId="13" dataDxfId="119"/>
    <tableColumn id="14" xr3:uid="{6DBB5914-1D61-47D6-877A-87DDF54D837F}" uniqueName="14" name="Column14" queryTableFieldId="14" dataDxfId="118"/>
    <tableColumn id="15" xr3:uid="{55B97C27-3FB7-468F-B390-A95F73D47D19}" uniqueName="15" name="Column15" queryTableFieldId="15" dataDxfId="117"/>
    <tableColumn id="16" xr3:uid="{621F41A1-791A-4067-8D97-68A3D872E191}" uniqueName="16" name="Column16" queryTableFieldId="16" dataDxfId="116"/>
    <tableColumn id="17" xr3:uid="{DB7C1AC3-D636-4A9A-85BD-0CD13667EB0B}" uniqueName="17" name="Column17" queryTableFieldId="17" dataDxfId="115"/>
    <tableColumn id="18" xr3:uid="{051EE1E7-7CFD-4650-82EE-33435FA3AE98}" uniqueName="18" name="Column18" queryTableFieldId="18" dataDxfId="114"/>
    <tableColumn id="19" xr3:uid="{9181AF23-D2E8-4FB3-81D4-F088507D240B}" uniqueName="19" name="Column19" queryTableFieldId="19" dataDxfId="113"/>
    <tableColumn id="20" xr3:uid="{DC35553D-1A1C-4240-A726-BB80DA618CCE}" uniqueName="20" name="Column20" queryTableFieldId="20" dataDxfId="112"/>
    <tableColumn id="21" xr3:uid="{DDC58852-30AB-4877-AA8E-A8C24285BA00}" uniqueName="21" name="Column21" queryTableFieldId="21" dataDxfId="111"/>
    <tableColumn id="22" xr3:uid="{B7E6D5BC-12B9-4849-98A5-A67B2AC77698}" uniqueName="22" name="Column22" queryTableFieldId="22" dataDxfId="1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572454-B0F6-4A84-A3D0-16B42C8AAEA1}" name="INFLUENCE_OF_SOCIAL_MEDIA_ON_THE_AWARENESS_OF_CHANNELS_OF_REPORTAGE_OF_SEXUAL_HA" displayName="INFLUENCE_OF_SOCIAL_MEDIA_ON_THE_AWARENESS_OF_CHANNELS_OF_REPORTAGE_OF_SEXUAL_HA" ref="A1:T202" tableType="queryTable" totalsRowShown="0">
  <autoFilter ref="A1:T202" xr:uid="{94572454-B0F6-4A84-A3D0-16B42C8AAEA1}"/>
  <tableColumns count="20">
    <tableColumn id="2" xr3:uid="{9B64C7E9-039D-40C2-B713-E2475645F1D3}" uniqueName="2" name="Gender" queryTableFieldId="2" dataDxfId="109"/>
    <tableColumn id="4" xr3:uid="{3B73F0F5-2792-4E92-9428-66D7A3EB75EE}" uniqueName="4" name="Age-Range" queryTableFieldId="4" dataDxfId="108"/>
    <tableColumn id="5" xr3:uid="{841438BA-C8CF-4AF7-90F3-5E818B915CB0}" uniqueName="5" name="Study_Level" queryTableFieldId="5" dataDxfId="107"/>
    <tableColumn id="6" xr3:uid="{32CD91D1-0780-4BA6-B7A1-572878C8BEA7}" uniqueName="6" name="Awareness_Of_Reporting_Channels" queryTableFieldId="6" dataDxfId="106"/>
    <tableColumn id="7" xr3:uid="{046020C3-F3BF-4EC3-BF7D-2C35D005A673}" uniqueName="7" name="  Level_Of_Awareness" queryTableFieldId="7" dataDxfId="105"/>
    <tableColumn id="8" xr3:uid="{A014962E-C9F7-4D52-A388-C5E11D4E8853}" uniqueName="8" name="Reporting_Channels" queryTableFieldId="8" dataDxfId="104"/>
    <tableColumn id="9" xr3:uid="{0B4581A3-C0A5-410E-91DB-5128A7C8E11B}" uniqueName="9" name="Channel_Discovery_Method" queryTableFieldId="9" dataDxfId="103"/>
    <tableColumn id="10" xr3:uid="{47B97023-FF8E-4ECD-B711-CD46DAFB0933}" uniqueName="10" name="Social Media Platform" queryTableFieldId="10" dataDxfId="102"/>
    <tableColumn id="11" xr3:uid="{191639C3-84E4-477C-8F1A-AD2624EEA6C5}" uniqueName="11" name="Exposure to sexual awareness" queryTableFieldId="11" dataDxfId="101"/>
    <tableColumn id="12" xr3:uid="{B3889760-F6BE-451D-B932-D04CA9D25444}" uniqueName="12" name="Awareness_Platform" queryTableFieldId="12" dataDxfId="100"/>
    <tableColumn id="13" xr3:uid="{8CF9AC2E-5EE4-4296-A85D-61EE841CB759}" uniqueName="13" name="University_Communication_Clarity" queryTableFieldId="13" dataDxfId="99"/>
    <tableColumn id="14" xr3:uid="{B7423E0D-8559-4129-B39F-16CF470F134A}" uniqueName="14" name="Official_Social_Media_Awareness_effectiveness" queryTableFieldId="14" dataDxfId="98"/>
    <tableColumn id="15" xr3:uid="{D1EAD50F-C5E5-4E6C-ADF6-B7C731BB31D7}" uniqueName="15" name="Reporting_Channel_Willingness" queryTableFieldId="15" dataDxfId="97"/>
    <tableColumn id="16" xr3:uid="{4A7041BE-F11A-44A8-ACB7-DB5AE04DB7D0}" uniqueName="16" name="Reporting_Channel_Confidence" queryTableFieldId="16" dataDxfId="96"/>
    <tableColumn id="17" xr3:uid="{E1B2EF9D-ECAC-40D1-9C9C-72446476426D}" uniqueName="17" name="Can_official_Channel_Encourage_Students?" queryTableFieldId="17" dataDxfId="95"/>
    <tableColumn id="18" xr3:uid="{F8842D91-A519-4D18-8635-677A538B68A7}" uniqueName="18" name="Reporting_Information_Adequacy" queryTableFieldId="18" dataDxfId="94"/>
    <tableColumn id="19" xr3:uid="{D81A01DF-C26B-4291-9511-AC8650956267}" uniqueName="19" name="Online_Search_For_Reporting_Info" queryTableFieldId="19" dataDxfId="93"/>
    <tableColumn id="20" xr3:uid="{0CD5D35E-C7EE-4E72-801A-2E0D70E735C6}" uniqueName="20" name="Reporting_information_Trust" queryTableFieldId="20" dataDxfId="92"/>
    <tableColumn id="21" xr3:uid="{224F4AF4-9DA0-4F1A-8D82-A2304D6B4214}" uniqueName="21" name="Anonymity_Influence" queryTableFieldId="21" dataDxfId="91"/>
    <tableColumn id="22" xr3:uid="{2551DDC1-0B11-450D-88DE-49E9CCA93A5E}" uniqueName="22" name="School_Awareness_Content_Engagement" queryTableFieldId="22" dataDxfId="90"/>
  </tableColumns>
  <tableStyleInfo name="Table Style 1"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48E3-1CB5-47EA-9A27-F31476FDB78E}">
  <dimension ref="A1:V205"/>
  <sheetViews>
    <sheetView tabSelected="1" topLeftCell="A93" zoomScale="53" zoomScaleNormal="53" workbookViewId="0">
      <selection activeCell="O3" sqref="O3"/>
    </sheetView>
  </sheetViews>
  <sheetFormatPr defaultRowHeight="14.5" x14ac:dyDescent="0.35"/>
  <cols>
    <col min="1" max="1" width="28.1796875" bestFit="1" customWidth="1"/>
    <col min="2" max="2" width="80.7265625" bestFit="1" customWidth="1"/>
    <col min="3" max="3" width="40.81640625" bestFit="1" customWidth="1"/>
    <col min="4" max="4" width="12" bestFit="1" customWidth="1"/>
    <col min="5" max="5" width="33.08984375" bestFit="1" customWidth="1"/>
    <col min="6" max="6" width="80.7265625" bestFit="1" customWidth="1"/>
    <col min="7" max="7" width="65" bestFit="1" customWidth="1"/>
    <col min="8" max="8" width="72.08984375" bestFit="1" customWidth="1"/>
    <col min="9" max="9" width="60.26953125" bestFit="1" customWidth="1"/>
    <col min="10" max="11" width="80.7265625" bestFit="1" customWidth="1"/>
    <col min="12" max="12" width="62.1796875" bestFit="1" customWidth="1"/>
    <col min="13" max="15" width="80.7265625" bestFit="1" customWidth="1"/>
    <col min="16" max="16" width="80" bestFit="1" customWidth="1"/>
    <col min="17" max="22" width="80.72656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row>
    <row r="3" spans="1:22" x14ac:dyDescent="0.35">
      <c r="A3" t="s">
        <v>44</v>
      </c>
      <c r="B3" t="s">
        <v>45</v>
      </c>
      <c r="C3" t="s">
        <v>46</v>
      </c>
      <c r="D3" t="s">
        <v>47</v>
      </c>
      <c r="E3" t="s">
        <v>48</v>
      </c>
      <c r="F3" t="s">
        <v>49</v>
      </c>
      <c r="G3" t="s">
        <v>50</v>
      </c>
      <c r="H3" t="s">
        <v>51</v>
      </c>
      <c r="I3" t="s">
        <v>52</v>
      </c>
      <c r="J3" t="s">
        <v>53</v>
      </c>
      <c r="K3" t="s">
        <v>49</v>
      </c>
      <c r="L3" t="s">
        <v>54</v>
      </c>
      <c r="M3" t="s">
        <v>55</v>
      </c>
      <c r="N3" t="s">
        <v>56</v>
      </c>
      <c r="O3" t="s">
        <v>57</v>
      </c>
      <c r="P3" t="s">
        <v>58</v>
      </c>
      <c r="Q3" t="s">
        <v>57</v>
      </c>
      <c r="R3" t="s">
        <v>57</v>
      </c>
      <c r="S3" t="s">
        <v>49</v>
      </c>
      <c r="T3" t="s">
        <v>59</v>
      </c>
      <c r="U3" t="s">
        <v>57</v>
      </c>
      <c r="V3" t="s">
        <v>57</v>
      </c>
    </row>
    <row r="4" spans="1:22" x14ac:dyDescent="0.35">
      <c r="A4" t="s">
        <v>60</v>
      </c>
      <c r="B4" t="s">
        <v>61</v>
      </c>
      <c r="C4" t="s">
        <v>46</v>
      </c>
      <c r="D4" t="s">
        <v>62</v>
      </c>
      <c r="E4" t="s">
        <v>63</v>
      </c>
      <c r="F4" t="s">
        <v>57</v>
      </c>
      <c r="G4" t="s">
        <v>64</v>
      </c>
      <c r="H4" t="s">
        <v>51</v>
      </c>
      <c r="I4" t="s">
        <v>52</v>
      </c>
      <c r="J4" t="s">
        <v>53</v>
      </c>
      <c r="K4" t="s">
        <v>49</v>
      </c>
      <c r="L4" t="s">
        <v>53</v>
      </c>
      <c r="M4" t="s">
        <v>65</v>
      </c>
      <c r="N4" t="s">
        <v>56</v>
      </c>
      <c r="O4" t="s">
        <v>57</v>
      </c>
      <c r="P4" t="s">
        <v>66</v>
      </c>
      <c r="Q4" t="s">
        <v>57</v>
      </c>
      <c r="R4" t="s">
        <v>57</v>
      </c>
      <c r="S4" t="s">
        <v>57</v>
      </c>
      <c r="T4" t="s">
        <v>59</v>
      </c>
      <c r="U4" t="s">
        <v>57</v>
      </c>
      <c r="V4" t="s">
        <v>57</v>
      </c>
    </row>
    <row r="5" spans="1:22" x14ac:dyDescent="0.35">
      <c r="A5" t="s">
        <v>67</v>
      </c>
      <c r="B5" t="s">
        <v>45</v>
      </c>
      <c r="C5" t="s">
        <v>46</v>
      </c>
      <c r="D5" t="s">
        <v>47</v>
      </c>
      <c r="E5" t="s">
        <v>48</v>
      </c>
      <c r="F5" t="s">
        <v>57</v>
      </c>
      <c r="G5" t="s">
        <v>68</v>
      </c>
      <c r="H5" t="s">
        <v>51</v>
      </c>
      <c r="I5" t="s">
        <v>69</v>
      </c>
      <c r="J5" t="s">
        <v>53</v>
      </c>
      <c r="K5" t="s">
        <v>57</v>
      </c>
      <c r="L5" t="s">
        <v>70</v>
      </c>
      <c r="M5" t="s">
        <v>71</v>
      </c>
      <c r="N5" t="s">
        <v>72</v>
      </c>
      <c r="O5" t="s">
        <v>57</v>
      </c>
      <c r="P5" t="s">
        <v>66</v>
      </c>
      <c r="Q5" t="s">
        <v>57</v>
      </c>
      <c r="R5" t="s">
        <v>49</v>
      </c>
      <c r="S5" t="s">
        <v>49</v>
      </c>
      <c r="T5" t="s">
        <v>65</v>
      </c>
      <c r="U5" t="s">
        <v>57</v>
      </c>
      <c r="V5" t="s">
        <v>49</v>
      </c>
    </row>
    <row r="6" spans="1:22" x14ac:dyDescent="0.35">
      <c r="A6" t="s">
        <v>73</v>
      </c>
      <c r="B6" t="s">
        <v>61</v>
      </c>
      <c r="C6" t="s">
        <v>46</v>
      </c>
      <c r="D6" t="s">
        <v>47</v>
      </c>
      <c r="E6" t="s">
        <v>74</v>
      </c>
      <c r="F6" t="s">
        <v>57</v>
      </c>
      <c r="G6" t="s">
        <v>64</v>
      </c>
      <c r="H6" t="s">
        <v>75</v>
      </c>
      <c r="I6" t="s">
        <v>52</v>
      </c>
      <c r="J6" t="s">
        <v>76</v>
      </c>
      <c r="K6" t="s">
        <v>49</v>
      </c>
      <c r="L6" t="s">
        <v>77</v>
      </c>
      <c r="M6" t="s">
        <v>71</v>
      </c>
      <c r="N6" t="s">
        <v>78</v>
      </c>
      <c r="O6" t="s">
        <v>57</v>
      </c>
      <c r="P6" t="s">
        <v>58</v>
      </c>
      <c r="Q6" t="s">
        <v>57</v>
      </c>
      <c r="R6" t="s">
        <v>49</v>
      </c>
      <c r="S6" t="s">
        <v>49</v>
      </c>
      <c r="T6" t="s">
        <v>65</v>
      </c>
      <c r="U6" t="s">
        <v>57</v>
      </c>
      <c r="V6" t="s">
        <v>49</v>
      </c>
    </row>
    <row r="7" spans="1:22" x14ac:dyDescent="0.35">
      <c r="A7" t="s">
        <v>79</v>
      </c>
      <c r="B7" t="s">
        <v>45</v>
      </c>
      <c r="C7" t="s">
        <v>46</v>
      </c>
      <c r="D7" t="s">
        <v>47</v>
      </c>
      <c r="E7" t="s">
        <v>80</v>
      </c>
      <c r="F7" t="s">
        <v>49</v>
      </c>
      <c r="G7" t="s">
        <v>64</v>
      </c>
      <c r="H7" t="s">
        <v>51</v>
      </c>
      <c r="I7" t="s">
        <v>81</v>
      </c>
      <c r="J7" t="s">
        <v>53</v>
      </c>
      <c r="K7" t="s">
        <v>49</v>
      </c>
      <c r="L7" t="s">
        <v>82</v>
      </c>
      <c r="M7" t="s">
        <v>65</v>
      </c>
      <c r="N7" t="s">
        <v>56</v>
      </c>
      <c r="O7" t="s">
        <v>57</v>
      </c>
      <c r="P7" t="s">
        <v>58</v>
      </c>
      <c r="Q7" t="s">
        <v>57</v>
      </c>
      <c r="R7" t="s">
        <v>49</v>
      </c>
      <c r="S7" t="s">
        <v>49</v>
      </c>
      <c r="T7" t="s">
        <v>83</v>
      </c>
      <c r="U7" t="s">
        <v>57</v>
      </c>
      <c r="V7" t="s">
        <v>49</v>
      </c>
    </row>
    <row r="8" spans="1:22" x14ac:dyDescent="0.35">
      <c r="A8" t="s">
        <v>84</v>
      </c>
      <c r="B8" t="s">
        <v>45</v>
      </c>
      <c r="C8" t="s">
        <v>46</v>
      </c>
      <c r="D8" t="s">
        <v>47</v>
      </c>
      <c r="E8" t="s">
        <v>74</v>
      </c>
      <c r="F8" t="s">
        <v>57</v>
      </c>
      <c r="G8" t="s">
        <v>68</v>
      </c>
      <c r="H8" t="s">
        <v>85</v>
      </c>
      <c r="I8" t="s">
        <v>86</v>
      </c>
      <c r="J8" t="s">
        <v>87</v>
      </c>
      <c r="K8" t="s">
        <v>57</v>
      </c>
      <c r="L8" t="s">
        <v>87</v>
      </c>
      <c r="M8" t="s">
        <v>55</v>
      </c>
      <c r="N8" t="s">
        <v>56</v>
      </c>
      <c r="O8" t="s">
        <v>57</v>
      </c>
      <c r="P8" t="s">
        <v>66</v>
      </c>
      <c r="Q8" t="s">
        <v>88</v>
      </c>
      <c r="R8" t="s">
        <v>57</v>
      </c>
      <c r="S8" t="s">
        <v>49</v>
      </c>
      <c r="T8" t="s">
        <v>59</v>
      </c>
      <c r="U8" t="s">
        <v>57</v>
      </c>
      <c r="V8" t="s">
        <v>57</v>
      </c>
    </row>
    <row r="9" spans="1:22" x14ac:dyDescent="0.35">
      <c r="A9" t="s">
        <v>89</v>
      </c>
      <c r="B9" t="s">
        <v>45</v>
      </c>
      <c r="C9" t="s">
        <v>46</v>
      </c>
      <c r="D9" t="s">
        <v>62</v>
      </c>
      <c r="E9" t="s">
        <v>63</v>
      </c>
      <c r="F9" t="s">
        <v>57</v>
      </c>
      <c r="G9" t="s">
        <v>68</v>
      </c>
      <c r="H9" t="s">
        <v>85</v>
      </c>
      <c r="I9" t="s">
        <v>81</v>
      </c>
      <c r="J9" t="s">
        <v>53</v>
      </c>
      <c r="K9" t="s">
        <v>57</v>
      </c>
      <c r="L9" t="s">
        <v>70</v>
      </c>
      <c r="M9" t="s">
        <v>65</v>
      </c>
      <c r="N9" t="s">
        <v>65</v>
      </c>
      <c r="O9" t="s">
        <v>57</v>
      </c>
      <c r="P9" t="s">
        <v>66</v>
      </c>
      <c r="Q9" t="s">
        <v>57</v>
      </c>
      <c r="R9" t="s">
        <v>57</v>
      </c>
      <c r="S9" t="s">
        <v>57</v>
      </c>
      <c r="T9" t="s">
        <v>59</v>
      </c>
      <c r="U9" t="s">
        <v>57</v>
      </c>
      <c r="V9" t="s">
        <v>57</v>
      </c>
    </row>
    <row r="10" spans="1:22" x14ac:dyDescent="0.35">
      <c r="A10" t="s">
        <v>90</v>
      </c>
      <c r="B10" t="s">
        <v>61</v>
      </c>
      <c r="C10" t="s">
        <v>46</v>
      </c>
      <c r="D10" t="s">
        <v>47</v>
      </c>
      <c r="E10" t="s">
        <v>63</v>
      </c>
      <c r="F10" t="s">
        <v>49</v>
      </c>
      <c r="G10" t="s">
        <v>64</v>
      </c>
      <c r="H10" t="s">
        <v>75</v>
      </c>
      <c r="I10" t="s">
        <v>52</v>
      </c>
      <c r="J10" t="s">
        <v>76</v>
      </c>
      <c r="K10" t="s">
        <v>49</v>
      </c>
      <c r="L10" t="s">
        <v>54</v>
      </c>
      <c r="M10" t="s">
        <v>71</v>
      </c>
      <c r="N10" t="s">
        <v>65</v>
      </c>
      <c r="O10" t="s">
        <v>88</v>
      </c>
      <c r="P10" t="s">
        <v>65</v>
      </c>
      <c r="Q10" t="s">
        <v>57</v>
      </c>
      <c r="R10" t="s">
        <v>49</v>
      </c>
      <c r="S10" t="s">
        <v>49</v>
      </c>
      <c r="T10" t="s">
        <v>65</v>
      </c>
      <c r="U10" t="s">
        <v>88</v>
      </c>
      <c r="V10" t="s">
        <v>49</v>
      </c>
    </row>
    <row r="11" spans="1:22" x14ac:dyDescent="0.35">
      <c r="A11" t="s">
        <v>91</v>
      </c>
      <c r="B11" t="s">
        <v>45</v>
      </c>
      <c r="C11" t="s">
        <v>46</v>
      </c>
      <c r="D11" t="s">
        <v>47</v>
      </c>
      <c r="E11" t="s">
        <v>74</v>
      </c>
      <c r="F11" t="s">
        <v>57</v>
      </c>
      <c r="G11" t="s">
        <v>68</v>
      </c>
      <c r="H11" t="s">
        <v>92</v>
      </c>
      <c r="I11" t="s">
        <v>86</v>
      </c>
      <c r="J11" t="s">
        <v>53</v>
      </c>
      <c r="K11" t="s">
        <v>57</v>
      </c>
      <c r="L11" t="s">
        <v>87</v>
      </c>
      <c r="M11" t="s">
        <v>65</v>
      </c>
      <c r="N11" t="s">
        <v>65</v>
      </c>
      <c r="O11" t="s">
        <v>57</v>
      </c>
      <c r="P11" t="s">
        <v>65</v>
      </c>
      <c r="Q11" t="s">
        <v>57</v>
      </c>
      <c r="R11" t="s">
        <v>57</v>
      </c>
      <c r="S11" t="s">
        <v>57</v>
      </c>
      <c r="T11" t="s">
        <v>65</v>
      </c>
      <c r="U11" t="s">
        <v>57</v>
      </c>
      <c r="V11" t="s">
        <v>57</v>
      </c>
    </row>
    <row r="12" spans="1:22" x14ac:dyDescent="0.35">
      <c r="A12" t="s">
        <v>93</v>
      </c>
      <c r="B12" t="s">
        <v>45</v>
      </c>
      <c r="C12" t="s">
        <v>46</v>
      </c>
      <c r="D12" t="s">
        <v>94</v>
      </c>
      <c r="E12" t="s">
        <v>48</v>
      </c>
      <c r="F12" t="s">
        <v>57</v>
      </c>
      <c r="G12" t="s">
        <v>68</v>
      </c>
      <c r="H12" t="s">
        <v>95</v>
      </c>
      <c r="I12" t="s">
        <v>52</v>
      </c>
      <c r="J12" t="s">
        <v>87</v>
      </c>
      <c r="K12" t="s">
        <v>57</v>
      </c>
      <c r="L12" t="s">
        <v>70</v>
      </c>
      <c r="M12" t="s">
        <v>96</v>
      </c>
      <c r="N12" t="s">
        <v>97</v>
      </c>
      <c r="O12" t="s">
        <v>88</v>
      </c>
      <c r="P12" t="s">
        <v>65</v>
      </c>
      <c r="Q12" t="s">
        <v>57</v>
      </c>
      <c r="R12" t="s">
        <v>49</v>
      </c>
      <c r="S12" t="s">
        <v>49</v>
      </c>
      <c r="T12" t="s">
        <v>65</v>
      </c>
      <c r="U12" t="s">
        <v>57</v>
      </c>
      <c r="V12" t="s">
        <v>57</v>
      </c>
    </row>
    <row r="13" spans="1:22" x14ac:dyDescent="0.35">
      <c r="A13" t="s">
        <v>98</v>
      </c>
      <c r="B13" t="s">
        <v>45</v>
      </c>
      <c r="C13" t="s">
        <v>46</v>
      </c>
      <c r="D13" t="s">
        <v>47</v>
      </c>
      <c r="E13" t="s">
        <v>74</v>
      </c>
      <c r="F13" t="s">
        <v>57</v>
      </c>
      <c r="G13" t="s">
        <v>68</v>
      </c>
      <c r="H13" t="s">
        <v>99</v>
      </c>
      <c r="I13" t="s">
        <v>52</v>
      </c>
      <c r="J13" t="s">
        <v>100</v>
      </c>
      <c r="K13" t="s">
        <v>57</v>
      </c>
      <c r="L13" t="s">
        <v>70</v>
      </c>
      <c r="M13" t="s">
        <v>65</v>
      </c>
      <c r="N13" t="s">
        <v>78</v>
      </c>
      <c r="O13" t="s">
        <v>57</v>
      </c>
      <c r="P13" t="s">
        <v>65</v>
      </c>
      <c r="Q13" t="s">
        <v>57</v>
      </c>
      <c r="R13" t="s">
        <v>57</v>
      </c>
      <c r="S13" t="s">
        <v>49</v>
      </c>
      <c r="T13" t="s">
        <v>65</v>
      </c>
      <c r="U13" t="s">
        <v>57</v>
      </c>
      <c r="V13" t="s">
        <v>57</v>
      </c>
    </row>
    <row r="14" spans="1:22" x14ac:dyDescent="0.35">
      <c r="A14" t="s">
        <v>101</v>
      </c>
      <c r="B14" t="s">
        <v>45</v>
      </c>
      <c r="C14" t="s">
        <v>46</v>
      </c>
      <c r="D14" t="s">
        <v>47</v>
      </c>
      <c r="E14" t="s">
        <v>80</v>
      </c>
      <c r="F14" t="s">
        <v>49</v>
      </c>
      <c r="G14" t="s">
        <v>102</v>
      </c>
      <c r="H14" t="s">
        <v>85</v>
      </c>
      <c r="I14" t="s">
        <v>52</v>
      </c>
      <c r="J14" t="s">
        <v>53</v>
      </c>
      <c r="K14" t="s">
        <v>57</v>
      </c>
      <c r="L14" t="s">
        <v>53</v>
      </c>
      <c r="M14" t="s">
        <v>55</v>
      </c>
      <c r="N14" t="s">
        <v>56</v>
      </c>
      <c r="O14" t="s">
        <v>57</v>
      </c>
      <c r="P14" t="s">
        <v>58</v>
      </c>
      <c r="Q14" t="s">
        <v>57</v>
      </c>
      <c r="R14" t="s">
        <v>57</v>
      </c>
      <c r="S14" t="s">
        <v>49</v>
      </c>
      <c r="T14" t="s">
        <v>59</v>
      </c>
      <c r="U14" t="s">
        <v>57</v>
      </c>
      <c r="V14" t="s">
        <v>57</v>
      </c>
    </row>
    <row r="15" spans="1:22" x14ac:dyDescent="0.35">
      <c r="A15" t="s">
        <v>103</v>
      </c>
      <c r="B15" t="s">
        <v>45</v>
      </c>
      <c r="C15" t="s">
        <v>46</v>
      </c>
      <c r="D15" t="s">
        <v>104</v>
      </c>
      <c r="E15" t="s">
        <v>63</v>
      </c>
      <c r="F15" t="s">
        <v>57</v>
      </c>
      <c r="G15" t="s">
        <v>68</v>
      </c>
      <c r="H15" t="s">
        <v>92</v>
      </c>
      <c r="I15" t="s">
        <v>81</v>
      </c>
      <c r="J15" t="s">
        <v>53</v>
      </c>
      <c r="K15" t="s">
        <v>49</v>
      </c>
      <c r="L15" t="s">
        <v>54</v>
      </c>
      <c r="M15" t="s">
        <v>65</v>
      </c>
      <c r="N15" t="s">
        <v>72</v>
      </c>
      <c r="O15" t="s">
        <v>88</v>
      </c>
      <c r="P15" t="s">
        <v>105</v>
      </c>
      <c r="Q15" t="s">
        <v>57</v>
      </c>
      <c r="R15" t="s">
        <v>49</v>
      </c>
      <c r="S15" t="s">
        <v>57</v>
      </c>
      <c r="T15" t="s">
        <v>106</v>
      </c>
      <c r="U15" t="s">
        <v>57</v>
      </c>
      <c r="V15" t="s">
        <v>49</v>
      </c>
    </row>
    <row r="16" spans="1:22" x14ac:dyDescent="0.35">
      <c r="A16" t="s">
        <v>107</v>
      </c>
      <c r="B16" t="s">
        <v>61</v>
      </c>
      <c r="C16" t="s">
        <v>46</v>
      </c>
      <c r="D16" t="s">
        <v>47</v>
      </c>
      <c r="E16" t="s">
        <v>80</v>
      </c>
      <c r="F16" t="s">
        <v>57</v>
      </c>
      <c r="G16" t="s">
        <v>50</v>
      </c>
      <c r="H16" t="s">
        <v>85</v>
      </c>
      <c r="I16" t="s">
        <v>52</v>
      </c>
      <c r="J16" t="s">
        <v>77</v>
      </c>
      <c r="K16" t="s">
        <v>57</v>
      </c>
      <c r="L16" t="s">
        <v>82</v>
      </c>
      <c r="M16" t="s">
        <v>96</v>
      </c>
      <c r="N16" t="s">
        <v>78</v>
      </c>
      <c r="O16" t="s">
        <v>49</v>
      </c>
      <c r="P16" t="s">
        <v>66</v>
      </c>
      <c r="Q16" t="s">
        <v>49</v>
      </c>
      <c r="R16" t="s">
        <v>57</v>
      </c>
      <c r="S16" t="s">
        <v>57</v>
      </c>
      <c r="T16" t="s">
        <v>83</v>
      </c>
      <c r="U16" t="s">
        <v>49</v>
      </c>
      <c r="V16" t="s">
        <v>57</v>
      </c>
    </row>
    <row r="17" spans="1:22" x14ac:dyDescent="0.35">
      <c r="A17" t="s">
        <v>108</v>
      </c>
      <c r="B17" t="s">
        <v>61</v>
      </c>
      <c r="C17" t="s">
        <v>46</v>
      </c>
      <c r="D17" t="s">
        <v>62</v>
      </c>
      <c r="E17" t="s">
        <v>74</v>
      </c>
      <c r="F17" t="s">
        <v>49</v>
      </c>
      <c r="G17" t="s">
        <v>109</v>
      </c>
      <c r="H17" t="s">
        <v>75</v>
      </c>
      <c r="I17" t="s">
        <v>81</v>
      </c>
      <c r="J17" t="s">
        <v>53</v>
      </c>
      <c r="K17" t="s">
        <v>49</v>
      </c>
      <c r="L17" t="s">
        <v>54</v>
      </c>
      <c r="M17" t="s">
        <v>110</v>
      </c>
      <c r="N17" t="s">
        <v>111</v>
      </c>
      <c r="O17" t="s">
        <v>88</v>
      </c>
      <c r="P17" t="s">
        <v>65</v>
      </c>
      <c r="Q17" t="s">
        <v>57</v>
      </c>
      <c r="R17" t="s">
        <v>49</v>
      </c>
      <c r="S17" t="s">
        <v>49</v>
      </c>
      <c r="T17" t="s">
        <v>83</v>
      </c>
      <c r="U17" t="s">
        <v>57</v>
      </c>
      <c r="V17" t="s">
        <v>49</v>
      </c>
    </row>
    <row r="18" spans="1:22" x14ac:dyDescent="0.35">
      <c r="A18" t="s">
        <v>112</v>
      </c>
      <c r="B18" t="s">
        <v>45</v>
      </c>
      <c r="C18" t="s">
        <v>46</v>
      </c>
      <c r="D18" t="s">
        <v>47</v>
      </c>
      <c r="E18" t="s">
        <v>74</v>
      </c>
      <c r="F18" t="s">
        <v>49</v>
      </c>
      <c r="G18" t="s">
        <v>68</v>
      </c>
      <c r="H18" t="s">
        <v>51</v>
      </c>
      <c r="I18" t="s">
        <v>86</v>
      </c>
      <c r="J18" t="s">
        <v>53</v>
      </c>
      <c r="K18" t="s">
        <v>49</v>
      </c>
      <c r="L18" t="s">
        <v>54</v>
      </c>
      <c r="M18" t="s">
        <v>55</v>
      </c>
      <c r="N18" t="s">
        <v>78</v>
      </c>
      <c r="O18" t="s">
        <v>57</v>
      </c>
      <c r="P18" t="s">
        <v>66</v>
      </c>
      <c r="Q18" t="s">
        <v>57</v>
      </c>
      <c r="R18" t="s">
        <v>57</v>
      </c>
      <c r="S18" t="s">
        <v>57</v>
      </c>
      <c r="T18" t="s">
        <v>65</v>
      </c>
      <c r="U18" t="s">
        <v>57</v>
      </c>
      <c r="V18" t="s">
        <v>49</v>
      </c>
    </row>
    <row r="19" spans="1:22" x14ac:dyDescent="0.35">
      <c r="A19" t="s">
        <v>113</v>
      </c>
      <c r="B19" t="s">
        <v>45</v>
      </c>
      <c r="C19" t="s">
        <v>46</v>
      </c>
      <c r="D19" t="s">
        <v>47</v>
      </c>
      <c r="E19" t="s">
        <v>74</v>
      </c>
      <c r="F19" t="s">
        <v>49</v>
      </c>
      <c r="G19" t="s">
        <v>64</v>
      </c>
      <c r="H19" t="s">
        <v>75</v>
      </c>
      <c r="I19" t="s">
        <v>69</v>
      </c>
      <c r="J19" t="s">
        <v>53</v>
      </c>
      <c r="K19" t="s">
        <v>49</v>
      </c>
      <c r="L19" t="s">
        <v>54</v>
      </c>
      <c r="M19" t="s">
        <v>65</v>
      </c>
      <c r="N19" t="s">
        <v>72</v>
      </c>
      <c r="O19" t="s">
        <v>57</v>
      </c>
      <c r="P19" t="s">
        <v>65</v>
      </c>
      <c r="Q19" t="s">
        <v>57</v>
      </c>
      <c r="R19" t="s">
        <v>88</v>
      </c>
      <c r="S19" t="s">
        <v>49</v>
      </c>
      <c r="T19" t="s">
        <v>65</v>
      </c>
      <c r="U19" t="s">
        <v>57</v>
      </c>
      <c r="V19" t="s">
        <v>49</v>
      </c>
    </row>
    <row r="20" spans="1:22" x14ac:dyDescent="0.35">
      <c r="A20" t="s">
        <v>114</v>
      </c>
      <c r="B20" t="s">
        <v>61</v>
      </c>
      <c r="C20" t="s">
        <v>46</v>
      </c>
      <c r="D20" t="s">
        <v>62</v>
      </c>
      <c r="E20" t="s">
        <v>74</v>
      </c>
      <c r="F20" t="s">
        <v>49</v>
      </c>
      <c r="G20" t="s">
        <v>64</v>
      </c>
      <c r="H20" t="s">
        <v>51</v>
      </c>
      <c r="I20" t="s">
        <v>69</v>
      </c>
      <c r="J20" t="s">
        <v>76</v>
      </c>
      <c r="K20" t="s">
        <v>49</v>
      </c>
      <c r="L20" t="s">
        <v>54</v>
      </c>
      <c r="M20" t="s">
        <v>71</v>
      </c>
      <c r="N20" t="s">
        <v>65</v>
      </c>
      <c r="O20" t="s">
        <v>57</v>
      </c>
      <c r="P20" t="s">
        <v>66</v>
      </c>
      <c r="Q20" t="s">
        <v>57</v>
      </c>
      <c r="R20" t="s">
        <v>49</v>
      </c>
      <c r="S20" t="s">
        <v>49</v>
      </c>
      <c r="T20" t="s">
        <v>65</v>
      </c>
      <c r="U20" t="s">
        <v>57</v>
      </c>
      <c r="V20" t="s">
        <v>49</v>
      </c>
    </row>
    <row r="21" spans="1:22" x14ac:dyDescent="0.35">
      <c r="A21" t="s">
        <v>115</v>
      </c>
      <c r="B21" t="s">
        <v>61</v>
      </c>
      <c r="C21" t="s">
        <v>46</v>
      </c>
      <c r="D21" t="s">
        <v>47</v>
      </c>
      <c r="E21" t="s">
        <v>74</v>
      </c>
      <c r="F21" t="s">
        <v>49</v>
      </c>
      <c r="G21" t="s">
        <v>109</v>
      </c>
      <c r="H21" t="s">
        <v>95</v>
      </c>
      <c r="I21" t="s">
        <v>81</v>
      </c>
      <c r="J21" t="s">
        <v>53</v>
      </c>
      <c r="K21" t="s">
        <v>57</v>
      </c>
      <c r="L21" t="s">
        <v>53</v>
      </c>
      <c r="M21" t="s">
        <v>96</v>
      </c>
      <c r="N21" t="s">
        <v>56</v>
      </c>
      <c r="O21" t="s">
        <v>57</v>
      </c>
      <c r="P21" t="s">
        <v>58</v>
      </c>
      <c r="Q21" t="s">
        <v>57</v>
      </c>
      <c r="R21" t="s">
        <v>49</v>
      </c>
      <c r="S21" t="s">
        <v>57</v>
      </c>
      <c r="T21" t="s">
        <v>59</v>
      </c>
      <c r="U21" t="s">
        <v>88</v>
      </c>
      <c r="V21" t="s">
        <v>57</v>
      </c>
    </row>
    <row r="22" spans="1:22" x14ac:dyDescent="0.35">
      <c r="A22" t="s">
        <v>116</v>
      </c>
      <c r="B22" t="s">
        <v>61</v>
      </c>
      <c r="C22" t="s">
        <v>46</v>
      </c>
      <c r="D22" t="s">
        <v>104</v>
      </c>
      <c r="E22" t="s">
        <v>74</v>
      </c>
      <c r="F22" t="s">
        <v>57</v>
      </c>
      <c r="G22" t="s">
        <v>102</v>
      </c>
      <c r="H22" t="s">
        <v>51</v>
      </c>
      <c r="I22" t="s">
        <v>117</v>
      </c>
      <c r="J22" t="s">
        <v>53</v>
      </c>
      <c r="K22" t="s">
        <v>49</v>
      </c>
      <c r="L22" t="s">
        <v>54</v>
      </c>
      <c r="M22" t="s">
        <v>96</v>
      </c>
      <c r="N22" t="s">
        <v>72</v>
      </c>
      <c r="O22" t="s">
        <v>57</v>
      </c>
      <c r="P22" t="s">
        <v>58</v>
      </c>
      <c r="Q22" t="s">
        <v>57</v>
      </c>
      <c r="R22" t="s">
        <v>49</v>
      </c>
      <c r="S22" t="s">
        <v>57</v>
      </c>
      <c r="T22" t="s">
        <v>65</v>
      </c>
      <c r="U22" t="s">
        <v>57</v>
      </c>
      <c r="V22" t="s">
        <v>57</v>
      </c>
    </row>
    <row r="23" spans="1:22" x14ac:dyDescent="0.35">
      <c r="A23" t="s">
        <v>118</v>
      </c>
      <c r="B23" t="s">
        <v>61</v>
      </c>
      <c r="C23" t="s">
        <v>46</v>
      </c>
      <c r="D23" t="s">
        <v>47</v>
      </c>
      <c r="E23" t="s">
        <v>74</v>
      </c>
      <c r="F23" t="s">
        <v>57</v>
      </c>
      <c r="G23" t="s">
        <v>68</v>
      </c>
      <c r="H23" t="s">
        <v>99</v>
      </c>
      <c r="I23" t="s">
        <v>52</v>
      </c>
      <c r="J23" t="s">
        <v>76</v>
      </c>
      <c r="K23" t="s">
        <v>49</v>
      </c>
      <c r="L23" t="s">
        <v>54</v>
      </c>
      <c r="M23" t="s">
        <v>96</v>
      </c>
      <c r="N23" t="s">
        <v>65</v>
      </c>
      <c r="O23" t="s">
        <v>57</v>
      </c>
      <c r="P23" t="s">
        <v>66</v>
      </c>
      <c r="Q23" t="s">
        <v>57</v>
      </c>
      <c r="R23" t="s">
        <v>57</v>
      </c>
      <c r="S23" t="s">
        <v>49</v>
      </c>
      <c r="T23" t="s">
        <v>65</v>
      </c>
      <c r="U23" t="s">
        <v>57</v>
      </c>
      <c r="V23" t="s">
        <v>49</v>
      </c>
    </row>
    <row r="24" spans="1:22" x14ac:dyDescent="0.35">
      <c r="A24" t="s">
        <v>119</v>
      </c>
      <c r="B24" t="s">
        <v>45</v>
      </c>
      <c r="C24" t="s">
        <v>46</v>
      </c>
      <c r="D24" t="s">
        <v>62</v>
      </c>
      <c r="E24" t="s">
        <v>120</v>
      </c>
      <c r="F24" t="s">
        <v>57</v>
      </c>
      <c r="G24" t="s">
        <v>68</v>
      </c>
      <c r="H24" t="s">
        <v>95</v>
      </c>
      <c r="I24" t="s">
        <v>52</v>
      </c>
      <c r="J24" t="s">
        <v>100</v>
      </c>
      <c r="K24" t="s">
        <v>57</v>
      </c>
      <c r="L24" t="s">
        <v>53</v>
      </c>
      <c r="M24" t="s">
        <v>96</v>
      </c>
      <c r="N24" t="s">
        <v>78</v>
      </c>
      <c r="O24" t="s">
        <v>57</v>
      </c>
      <c r="P24" t="s">
        <v>58</v>
      </c>
      <c r="Q24" t="s">
        <v>57</v>
      </c>
      <c r="R24" t="s">
        <v>49</v>
      </c>
      <c r="S24" t="s">
        <v>57</v>
      </c>
      <c r="T24" t="s">
        <v>83</v>
      </c>
      <c r="U24" t="s">
        <v>57</v>
      </c>
      <c r="V24" t="s">
        <v>57</v>
      </c>
    </row>
    <row r="25" spans="1:22" x14ac:dyDescent="0.35">
      <c r="A25" t="s">
        <v>121</v>
      </c>
      <c r="B25" t="s">
        <v>45</v>
      </c>
      <c r="C25" t="s">
        <v>46</v>
      </c>
      <c r="D25" t="s">
        <v>47</v>
      </c>
      <c r="E25" t="s">
        <v>74</v>
      </c>
      <c r="F25" t="s">
        <v>57</v>
      </c>
      <c r="G25" t="s">
        <v>68</v>
      </c>
      <c r="H25" t="s">
        <v>99</v>
      </c>
      <c r="I25" t="s">
        <v>52</v>
      </c>
      <c r="J25" t="s">
        <v>100</v>
      </c>
      <c r="K25" t="s">
        <v>49</v>
      </c>
      <c r="L25" t="s">
        <v>54</v>
      </c>
      <c r="M25" t="s">
        <v>65</v>
      </c>
      <c r="N25" t="s">
        <v>65</v>
      </c>
      <c r="O25" t="s">
        <v>57</v>
      </c>
      <c r="P25" t="s">
        <v>65</v>
      </c>
      <c r="Q25" t="s">
        <v>88</v>
      </c>
      <c r="R25" t="s">
        <v>88</v>
      </c>
      <c r="S25" t="s">
        <v>49</v>
      </c>
      <c r="T25" t="s">
        <v>65</v>
      </c>
      <c r="U25" t="s">
        <v>57</v>
      </c>
      <c r="V25" t="s">
        <v>49</v>
      </c>
    </row>
    <row r="26" spans="1:22" x14ac:dyDescent="0.35">
      <c r="A26" t="s">
        <v>122</v>
      </c>
      <c r="B26" t="s">
        <v>61</v>
      </c>
      <c r="C26" t="s">
        <v>46</v>
      </c>
      <c r="D26" t="s">
        <v>62</v>
      </c>
      <c r="E26" t="s">
        <v>63</v>
      </c>
      <c r="F26" t="s">
        <v>49</v>
      </c>
      <c r="G26" t="s">
        <v>68</v>
      </c>
      <c r="H26" t="s">
        <v>51</v>
      </c>
      <c r="I26" t="s">
        <v>123</v>
      </c>
      <c r="J26" t="s">
        <v>77</v>
      </c>
      <c r="K26" t="s">
        <v>49</v>
      </c>
      <c r="L26" t="s">
        <v>54</v>
      </c>
      <c r="M26" t="s">
        <v>65</v>
      </c>
      <c r="N26" t="s">
        <v>65</v>
      </c>
      <c r="O26" t="s">
        <v>57</v>
      </c>
      <c r="P26" t="s">
        <v>66</v>
      </c>
      <c r="Q26" t="s">
        <v>57</v>
      </c>
      <c r="R26" t="s">
        <v>49</v>
      </c>
      <c r="S26" t="s">
        <v>49</v>
      </c>
      <c r="T26" t="s">
        <v>65</v>
      </c>
      <c r="U26" t="s">
        <v>57</v>
      </c>
      <c r="V26" t="s">
        <v>49</v>
      </c>
    </row>
    <row r="27" spans="1:22" x14ac:dyDescent="0.35">
      <c r="A27" t="s">
        <v>124</v>
      </c>
      <c r="B27" t="s">
        <v>45</v>
      </c>
      <c r="C27" t="s">
        <v>46</v>
      </c>
      <c r="D27" t="s">
        <v>94</v>
      </c>
      <c r="E27" t="s">
        <v>48</v>
      </c>
      <c r="F27" t="s">
        <v>49</v>
      </c>
      <c r="G27" t="s">
        <v>68</v>
      </c>
      <c r="H27" t="s">
        <v>92</v>
      </c>
      <c r="I27" t="s">
        <v>52</v>
      </c>
      <c r="J27" t="s">
        <v>53</v>
      </c>
      <c r="K27" t="s">
        <v>49</v>
      </c>
      <c r="L27" t="s">
        <v>54</v>
      </c>
      <c r="M27" t="s">
        <v>65</v>
      </c>
      <c r="N27" t="s">
        <v>78</v>
      </c>
      <c r="O27" t="s">
        <v>57</v>
      </c>
      <c r="P27" t="s">
        <v>66</v>
      </c>
      <c r="Q27" t="s">
        <v>57</v>
      </c>
      <c r="R27" t="s">
        <v>49</v>
      </c>
      <c r="S27" t="s">
        <v>49</v>
      </c>
      <c r="T27" t="s">
        <v>83</v>
      </c>
      <c r="U27" t="s">
        <v>57</v>
      </c>
      <c r="V27" t="s">
        <v>49</v>
      </c>
    </row>
    <row r="28" spans="1:22" x14ac:dyDescent="0.35">
      <c r="A28" t="s">
        <v>125</v>
      </c>
      <c r="B28" t="s">
        <v>45</v>
      </c>
      <c r="C28" t="s">
        <v>46</v>
      </c>
      <c r="D28" t="s">
        <v>62</v>
      </c>
      <c r="E28" t="s">
        <v>74</v>
      </c>
      <c r="F28" t="s">
        <v>57</v>
      </c>
      <c r="G28" t="s">
        <v>68</v>
      </c>
      <c r="H28" t="s">
        <v>95</v>
      </c>
      <c r="I28" t="s">
        <v>52</v>
      </c>
      <c r="J28" t="s">
        <v>87</v>
      </c>
      <c r="K28" t="s">
        <v>49</v>
      </c>
      <c r="L28" t="s">
        <v>54</v>
      </c>
      <c r="M28" t="s">
        <v>55</v>
      </c>
      <c r="N28" t="s">
        <v>56</v>
      </c>
      <c r="O28" t="s">
        <v>49</v>
      </c>
      <c r="P28" t="s">
        <v>126</v>
      </c>
      <c r="Q28" t="s">
        <v>57</v>
      </c>
      <c r="R28" t="s">
        <v>88</v>
      </c>
      <c r="S28" t="s">
        <v>57</v>
      </c>
      <c r="T28" t="s">
        <v>59</v>
      </c>
      <c r="U28" t="s">
        <v>88</v>
      </c>
      <c r="V28" t="s">
        <v>49</v>
      </c>
    </row>
    <row r="29" spans="1:22" x14ac:dyDescent="0.35">
      <c r="A29" t="s">
        <v>127</v>
      </c>
      <c r="B29" t="s">
        <v>61</v>
      </c>
      <c r="C29" t="s">
        <v>46</v>
      </c>
      <c r="D29" t="s">
        <v>94</v>
      </c>
      <c r="E29" t="s">
        <v>120</v>
      </c>
      <c r="F29" t="s">
        <v>49</v>
      </c>
      <c r="G29" t="s">
        <v>102</v>
      </c>
      <c r="H29" t="s">
        <v>51</v>
      </c>
      <c r="I29" t="s">
        <v>52</v>
      </c>
      <c r="J29" t="s">
        <v>87</v>
      </c>
      <c r="K29" t="s">
        <v>49</v>
      </c>
      <c r="L29" t="s">
        <v>54</v>
      </c>
      <c r="M29" t="s">
        <v>96</v>
      </c>
      <c r="N29" t="s">
        <v>78</v>
      </c>
      <c r="O29" t="s">
        <v>57</v>
      </c>
      <c r="P29" t="s">
        <v>66</v>
      </c>
      <c r="Q29" t="s">
        <v>57</v>
      </c>
      <c r="R29" t="s">
        <v>57</v>
      </c>
      <c r="S29" t="s">
        <v>49</v>
      </c>
      <c r="T29" t="s">
        <v>83</v>
      </c>
      <c r="U29" t="s">
        <v>49</v>
      </c>
      <c r="V29" t="s">
        <v>49</v>
      </c>
    </row>
    <row r="30" spans="1:22" x14ac:dyDescent="0.35">
      <c r="A30" t="s">
        <v>128</v>
      </c>
      <c r="B30" t="s">
        <v>61</v>
      </c>
      <c r="C30" t="s">
        <v>46</v>
      </c>
      <c r="D30" t="s">
        <v>62</v>
      </c>
      <c r="E30" t="s">
        <v>74</v>
      </c>
      <c r="F30" t="s">
        <v>57</v>
      </c>
      <c r="G30" t="s">
        <v>102</v>
      </c>
      <c r="H30" t="s">
        <v>85</v>
      </c>
      <c r="I30" t="s">
        <v>81</v>
      </c>
      <c r="J30" t="s">
        <v>53</v>
      </c>
      <c r="K30" t="s">
        <v>57</v>
      </c>
      <c r="L30" t="s">
        <v>70</v>
      </c>
      <c r="M30" t="s">
        <v>96</v>
      </c>
      <c r="N30" t="s">
        <v>65</v>
      </c>
      <c r="O30" t="s">
        <v>57</v>
      </c>
      <c r="P30" t="s">
        <v>58</v>
      </c>
      <c r="Q30" t="s">
        <v>57</v>
      </c>
      <c r="R30" t="s">
        <v>88</v>
      </c>
      <c r="S30" t="s">
        <v>49</v>
      </c>
      <c r="T30" t="s">
        <v>83</v>
      </c>
      <c r="U30" t="s">
        <v>57</v>
      </c>
      <c r="V30" t="s">
        <v>57</v>
      </c>
    </row>
    <row r="31" spans="1:22" x14ac:dyDescent="0.35">
      <c r="A31" t="s">
        <v>129</v>
      </c>
      <c r="B31" t="s">
        <v>45</v>
      </c>
      <c r="C31" t="s">
        <v>46</v>
      </c>
      <c r="D31" t="s">
        <v>62</v>
      </c>
      <c r="E31" t="s">
        <v>63</v>
      </c>
      <c r="F31" t="s">
        <v>57</v>
      </c>
      <c r="G31" t="s">
        <v>68</v>
      </c>
      <c r="H31" t="s">
        <v>95</v>
      </c>
      <c r="I31" t="s">
        <v>52</v>
      </c>
      <c r="J31" t="s">
        <v>53</v>
      </c>
      <c r="K31" t="s">
        <v>49</v>
      </c>
      <c r="L31" t="s">
        <v>54</v>
      </c>
      <c r="M31" t="s">
        <v>65</v>
      </c>
      <c r="N31" t="s">
        <v>65</v>
      </c>
      <c r="O31" t="s">
        <v>57</v>
      </c>
      <c r="P31" t="s">
        <v>58</v>
      </c>
      <c r="Q31" t="s">
        <v>57</v>
      </c>
      <c r="R31" t="s">
        <v>49</v>
      </c>
      <c r="S31" t="s">
        <v>49</v>
      </c>
      <c r="T31" t="s">
        <v>83</v>
      </c>
      <c r="U31" t="s">
        <v>57</v>
      </c>
      <c r="V31" t="s">
        <v>57</v>
      </c>
    </row>
    <row r="32" spans="1:22" x14ac:dyDescent="0.35">
      <c r="A32" t="s">
        <v>130</v>
      </c>
      <c r="B32" t="s">
        <v>45</v>
      </c>
      <c r="C32" t="s">
        <v>46</v>
      </c>
      <c r="D32" t="s">
        <v>94</v>
      </c>
      <c r="E32" t="s">
        <v>74</v>
      </c>
      <c r="F32" t="s">
        <v>57</v>
      </c>
      <c r="G32" t="s">
        <v>68</v>
      </c>
      <c r="H32" t="s">
        <v>51</v>
      </c>
      <c r="I32" t="s">
        <v>81</v>
      </c>
      <c r="J32" t="s">
        <v>53</v>
      </c>
      <c r="K32" t="s">
        <v>49</v>
      </c>
      <c r="L32" t="s">
        <v>54</v>
      </c>
      <c r="M32" t="s">
        <v>65</v>
      </c>
      <c r="N32" t="s">
        <v>65</v>
      </c>
      <c r="O32" t="s">
        <v>57</v>
      </c>
      <c r="P32" t="s">
        <v>66</v>
      </c>
      <c r="Q32" t="s">
        <v>57</v>
      </c>
      <c r="R32" t="s">
        <v>49</v>
      </c>
      <c r="S32" t="s">
        <v>49</v>
      </c>
      <c r="T32" t="s">
        <v>65</v>
      </c>
      <c r="U32" t="s">
        <v>49</v>
      </c>
      <c r="V32" t="s">
        <v>49</v>
      </c>
    </row>
    <row r="33" spans="1:22" x14ac:dyDescent="0.35">
      <c r="A33" t="s">
        <v>131</v>
      </c>
      <c r="B33" t="s">
        <v>61</v>
      </c>
      <c r="C33" t="s">
        <v>46</v>
      </c>
      <c r="D33" t="s">
        <v>104</v>
      </c>
      <c r="E33" t="s">
        <v>63</v>
      </c>
      <c r="F33" t="s">
        <v>57</v>
      </c>
      <c r="G33" t="s">
        <v>50</v>
      </c>
      <c r="H33" t="s">
        <v>85</v>
      </c>
      <c r="I33" t="s">
        <v>86</v>
      </c>
      <c r="J33" t="s">
        <v>53</v>
      </c>
      <c r="K33" t="s">
        <v>57</v>
      </c>
      <c r="L33" t="s">
        <v>87</v>
      </c>
      <c r="M33" t="s">
        <v>55</v>
      </c>
      <c r="N33" t="s">
        <v>56</v>
      </c>
      <c r="O33" t="s">
        <v>57</v>
      </c>
      <c r="P33" t="s">
        <v>58</v>
      </c>
      <c r="Q33" t="s">
        <v>57</v>
      </c>
      <c r="R33" t="s">
        <v>57</v>
      </c>
      <c r="S33" t="s">
        <v>57</v>
      </c>
      <c r="T33" t="s">
        <v>59</v>
      </c>
      <c r="U33" t="s">
        <v>57</v>
      </c>
      <c r="V33" t="s">
        <v>57</v>
      </c>
    </row>
    <row r="34" spans="1:22" x14ac:dyDescent="0.35">
      <c r="A34" t="s">
        <v>132</v>
      </c>
      <c r="B34" t="s">
        <v>61</v>
      </c>
      <c r="C34" t="s">
        <v>46</v>
      </c>
      <c r="D34" t="s">
        <v>47</v>
      </c>
      <c r="E34" t="s">
        <v>48</v>
      </c>
      <c r="F34" t="s">
        <v>57</v>
      </c>
      <c r="G34" t="s">
        <v>102</v>
      </c>
      <c r="H34" t="s">
        <v>51</v>
      </c>
      <c r="I34" t="s">
        <v>52</v>
      </c>
      <c r="J34" t="s">
        <v>53</v>
      </c>
      <c r="K34" t="s">
        <v>49</v>
      </c>
      <c r="L34" t="s">
        <v>54</v>
      </c>
      <c r="M34" t="s">
        <v>71</v>
      </c>
      <c r="N34" t="s">
        <v>56</v>
      </c>
      <c r="O34" t="s">
        <v>57</v>
      </c>
      <c r="P34" t="s">
        <v>66</v>
      </c>
      <c r="Q34" t="s">
        <v>57</v>
      </c>
      <c r="R34" t="s">
        <v>88</v>
      </c>
      <c r="S34" t="s">
        <v>49</v>
      </c>
      <c r="T34" t="s">
        <v>133</v>
      </c>
      <c r="U34" t="s">
        <v>88</v>
      </c>
      <c r="V34" t="s">
        <v>57</v>
      </c>
    </row>
    <row r="35" spans="1:22" x14ac:dyDescent="0.35">
      <c r="A35" t="s">
        <v>134</v>
      </c>
      <c r="B35" t="s">
        <v>61</v>
      </c>
      <c r="C35" t="s">
        <v>46</v>
      </c>
      <c r="D35" t="s">
        <v>62</v>
      </c>
      <c r="E35" t="s">
        <v>74</v>
      </c>
      <c r="F35" t="s">
        <v>57</v>
      </c>
      <c r="G35" t="s">
        <v>68</v>
      </c>
      <c r="H35" t="s">
        <v>75</v>
      </c>
      <c r="I35" t="s">
        <v>81</v>
      </c>
      <c r="J35" t="s">
        <v>53</v>
      </c>
      <c r="K35" t="s">
        <v>57</v>
      </c>
      <c r="L35" t="s">
        <v>53</v>
      </c>
      <c r="M35" t="s">
        <v>65</v>
      </c>
      <c r="N35" t="s">
        <v>72</v>
      </c>
      <c r="O35" t="s">
        <v>57</v>
      </c>
      <c r="P35" t="s">
        <v>105</v>
      </c>
      <c r="Q35" t="s">
        <v>49</v>
      </c>
      <c r="R35" t="s">
        <v>49</v>
      </c>
      <c r="S35" t="s">
        <v>49</v>
      </c>
      <c r="T35" t="s">
        <v>65</v>
      </c>
      <c r="U35" t="s">
        <v>57</v>
      </c>
      <c r="V35" t="s">
        <v>49</v>
      </c>
    </row>
    <row r="36" spans="1:22" x14ac:dyDescent="0.35">
      <c r="A36" t="s">
        <v>135</v>
      </c>
      <c r="B36" t="s">
        <v>61</v>
      </c>
      <c r="C36" t="s">
        <v>46</v>
      </c>
      <c r="D36" t="s">
        <v>47</v>
      </c>
      <c r="E36" t="s">
        <v>48</v>
      </c>
      <c r="F36" t="s">
        <v>49</v>
      </c>
      <c r="G36" t="s">
        <v>68</v>
      </c>
      <c r="H36" t="s">
        <v>51</v>
      </c>
      <c r="I36" t="s">
        <v>136</v>
      </c>
      <c r="J36" t="s">
        <v>87</v>
      </c>
      <c r="K36" t="s">
        <v>49</v>
      </c>
      <c r="L36" t="s">
        <v>54</v>
      </c>
      <c r="M36" t="s">
        <v>65</v>
      </c>
      <c r="N36" t="s">
        <v>65</v>
      </c>
      <c r="O36" t="s">
        <v>57</v>
      </c>
      <c r="P36" t="s">
        <v>65</v>
      </c>
      <c r="Q36" t="s">
        <v>57</v>
      </c>
      <c r="R36" t="s">
        <v>88</v>
      </c>
      <c r="S36" t="s">
        <v>49</v>
      </c>
      <c r="T36" t="s">
        <v>137</v>
      </c>
      <c r="U36" t="s">
        <v>57</v>
      </c>
      <c r="V36" t="s">
        <v>49</v>
      </c>
    </row>
    <row r="37" spans="1:22" x14ac:dyDescent="0.35">
      <c r="A37" t="s">
        <v>138</v>
      </c>
      <c r="B37" t="s">
        <v>45</v>
      </c>
      <c r="C37" t="s">
        <v>46</v>
      </c>
      <c r="D37" t="s">
        <v>47</v>
      </c>
      <c r="E37" t="s">
        <v>74</v>
      </c>
      <c r="F37" t="s">
        <v>57</v>
      </c>
      <c r="G37" t="s">
        <v>68</v>
      </c>
      <c r="H37" t="s">
        <v>95</v>
      </c>
      <c r="I37" t="s">
        <v>52</v>
      </c>
      <c r="J37" t="s">
        <v>53</v>
      </c>
      <c r="K37" t="s">
        <v>49</v>
      </c>
      <c r="L37" t="s">
        <v>54</v>
      </c>
      <c r="M37" t="s">
        <v>65</v>
      </c>
      <c r="N37" t="s">
        <v>65</v>
      </c>
      <c r="O37" t="s">
        <v>88</v>
      </c>
      <c r="P37" t="s">
        <v>105</v>
      </c>
      <c r="Q37" t="s">
        <v>88</v>
      </c>
      <c r="R37" t="s">
        <v>49</v>
      </c>
      <c r="S37" t="s">
        <v>49</v>
      </c>
      <c r="T37" t="s">
        <v>106</v>
      </c>
      <c r="U37" t="s">
        <v>49</v>
      </c>
      <c r="V37" t="s">
        <v>49</v>
      </c>
    </row>
    <row r="38" spans="1:22" x14ac:dyDescent="0.35">
      <c r="A38" t="s">
        <v>139</v>
      </c>
      <c r="B38" t="s">
        <v>45</v>
      </c>
      <c r="C38" t="s">
        <v>46</v>
      </c>
      <c r="D38" t="s">
        <v>47</v>
      </c>
      <c r="E38" t="s">
        <v>74</v>
      </c>
      <c r="F38" t="s">
        <v>49</v>
      </c>
      <c r="G38" t="s">
        <v>68</v>
      </c>
      <c r="H38" t="s">
        <v>75</v>
      </c>
      <c r="I38" t="s">
        <v>81</v>
      </c>
      <c r="J38" t="s">
        <v>53</v>
      </c>
      <c r="K38" t="s">
        <v>49</v>
      </c>
      <c r="L38" t="s">
        <v>54</v>
      </c>
      <c r="M38" t="s">
        <v>65</v>
      </c>
      <c r="N38" t="s">
        <v>65</v>
      </c>
      <c r="O38" t="s">
        <v>57</v>
      </c>
      <c r="P38" t="s">
        <v>65</v>
      </c>
      <c r="Q38" t="s">
        <v>88</v>
      </c>
      <c r="R38" t="s">
        <v>49</v>
      </c>
      <c r="S38" t="s">
        <v>49</v>
      </c>
      <c r="T38" t="s">
        <v>65</v>
      </c>
      <c r="U38" t="s">
        <v>57</v>
      </c>
      <c r="V38" t="s">
        <v>49</v>
      </c>
    </row>
    <row r="39" spans="1:22" x14ac:dyDescent="0.35">
      <c r="A39" t="s">
        <v>140</v>
      </c>
      <c r="B39" t="s">
        <v>45</v>
      </c>
      <c r="C39" t="s">
        <v>46</v>
      </c>
      <c r="D39" t="s">
        <v>47</v>
      </c>
      <c r="E39" t="s">
        <v>74</v>
      </c>
      <c r="F39" t="s">
        <v>57</v>
      </c>
      <c r="G39" t="s">
        <v>68</v>
      </c>
      <c r="H39" t="s">
        <v>95</v>
      </c>
      <c r="I39" t="s">
        <v>81</v>
      </c>
      <c r="J39" t="s">
        <v>53</v>
      </c>
      <c r="K39" t="s">
        <v>49</v>
      </c>
      <c r="L39" t="s">
        <v>54</v>
      </c>
      <c r="M39" t="s">
        <v>96</v>
      </c>
      <c r="N39" t="s">
        <v>78</v>
      </c>
      <c r="O39" t="s">
        <v>57</v>
      </c>
      <c r="P39" t="s">
        <v>66</v>
      </c>
      <c r="Q39" t="s">
        <v>57</v>
      </c>
      <c r="R39" t="s">
        <v>49</v>
      </c>
      <c r="S39" t="s">
        <v>49</v>
      </c>
      <c r="T39" t="s">
        <v>83</v>
      </c>
      <c r="U39" t="s">
        <v>57</v>
      </c>
      <c r="V39" t="s">
        <v>49</v>
      </c>
    </row>
    <row r="40" spans="1:22" x14ac:dyDescent="0.35">
      <c r="A40" t="s">
        <v>141</v>
      </c>
      <c r="B40" t="s">
        <v>45</v>
      </c>
      <c r="C40" t="s">
        <v>46</v>
      </c>
      <c r="D40" t="s">
        <v>47</v>
      </c>
      <c r="E40" t="s">
        <v>48</v>
      </c>
      <c r="F40" t="s">
        <v>49</v>
      </c>
      <c r="G40" t="s">
        <v>68</v>
      </c>
      <c r="H40" t="s">
        <v>51</v>
      </c>
      <c r="I40" t="s">
        <v>81</v>
      </c>
      <c r="J40" t="s">
        <v>76</v>
      </c>
      <c r="K40" t="s">
        <v>49</v>
      </c>
      <c r="L40" t="s">
        <v>54</v>
      </c>
      <c r="M40" t="s">
        <v>71</v>
      </c>
      <c r="N40" t="s">
        <v>72</v>
      </c>
      <c r="O40" t="s">
        <v>57</v>
      </c>
      <c r="P40" t="s">
        <v>65</v>
      </c>
      <c r="Q40" t="s">
        <v>57</v>
      </c>
      <c r="R40" t="s">
        <v>57</v>
      </c>
      <c r="S40" t="s">
        <v>49</v>
      </c>
      <c r="T40" t="s">
        <v>65</v>
      </c>
      <c r="U40" t="s">
        <v>57</v>
      </c>
      <c r="V40" t="s">
        <v>49</v>
      </c>
    </row>
    <row r="41" spans="1:22" x14ac:dyDescent="0.35">
      <c r="A41" t="s">
        <v>142</v>
      </c>
      <c r="B41" t="s">
        <v>45</v>
      </c>
      <c r="C41" t="s">
        <v>46</v>
      </c>
      <c r="D41" t="s">
        <v>47</v>
      </c>
      <c r="E41" t="s">
        <v>48</v>
      </c>
      <c r="F41" t="s">
        <v>57</v>
      </c>
      <c r="G41" t="s">
        <v>50</v>
      </c>
      <c r="H41" t="s">
        <v>51</v>
      </c>
      <c r="I41" t="s">
        <v>52</v>
      </c>
      <c r="J41" t="s">
        <v>53</v>
      </c>
      <c r="K41" t="s">
        <v>57</v>
      </c>
      <c r="L41" t="s">
        <v>53</v>
      </c>
      <c r="M41" t="s">
        <v>55</v>
      </c>
      <c r="N41" t="s">
        <v>56</v>
      </c>
      <c r="O41" t="s">
        <v>57</v>
      </c>
      <c r="P41" t="s">
        <v>58</v>
      </c>
      <c r="Q41" t="s">
        <v>57</v>
      </c>
      <c r="R41" t="s">
        <v>57</v>
      </c>
      <c r="S41" t="s">
        <v>57</v>
      </c>
      <c r="T41" t="s">
        <v>59</v>
      </c>
      <c r="U41" t="s">
        <v>57</v>
      </c>
      <c r="V41" t="s">
        <v>57</v>
      </c>
    </row>
    <row r="42" spans="1:22" x14ac:dyDescent="0.35">
      <c r="A42" t="s">
        <v>143</v>
      </c>
      <c r="B42" t="s">
        <v>61</v>
      </c>
      <c r="C42" t="s">
        <v>46</v>
      </c>
      <c r="D42" t="s">
        <v>104</v>
      </c>
      <c r="E42" t="s">
        <v>63</v>
      </c>
      <c r="F42" t="s">
        <v>57</v>
      </c>
      <c r="G42" t="s">
        <v>50</v>
      </c>
      <c r="H42" t="s">
        <v>51</v>
      </c>
      <c r="I42" t="s">
        <v>86</v>
      </c>
      <c r="J42" t="s">
        <v>53</v>
      </c>
      <c r="K42" t="s">
        <v>57</v>
      </c>
      <c r="L42" t="s">
        <v>53</v>
      </c>
      <c r="M42" t="s">
        <v>55</v>
      </c>
      <c r="N42" t="s">
        <v>65</v>
      </c>
      <c r="O42" t="s">
        <v>49</v>
      </c>
      <c r="P42" t="s">
        <v>65</v>
      </c>
      <c r="Q42" t="s">
        <v>57</v>
      </c>
      <c r="R42" t="s">
        <v>49</v>
      </c>
      <c r="S42" t="s">
        <v>49</v>
      </c>
      <c r="T42" t="s">
        <v>65</v>
      </c>
      <c r="U42" t="s">
        <v>57</v>
      </c>
      <c r="V42" t="s">
        <v>57</v>
      </c>
    </row>
    <row r="43" spans="1:22" x14ac:dyDescent="0.35">
      <c r="A43" t="s">
        <v>144</v>
      </c>
      <c r="B43" t="s">
        <v>61</v>
      </c>
      <c r="C43" t="s">
        <v>46</v>
      </c>
      <c r="D43" t="s">
        <v>47</v>
      </c>
      <c r="E43" t="s">
        <v>80</v>
      </c>
      <c r="F43" t="s">
        <v>57</v>
      </c>
      <c r="G43" t="s">
        <v>64</v>
      </c>
      <c r="H43" t="s">
        <v>75</v>
      </c>
      <c r="I43" t="s">
        <v>81</v>
      </c>
      <c r="J43" t="s">
        <v>53</v>
      </c>
      <c r="K43" t="s">
        <v>49</v>
      </c>
      <c r="L43" t="s">
        <v>53</v>
      </c>
      <c r="M43" t="s">
        <v>65</v>
      </c>
      <c r="N43" t="s">
        <v>56</v>
      </c>
      <c r="O43" t="s">
        <v>57</v>
      </c>
      <c r="P43" t="s">
        <v>58</v>
      </c>
      <c r="Q43" t="s">
        <v>57</v>
      </c>
      <c r="R43" t="s">
        <v>49</v>
      </c>
      <c r="S43" t="s">
        <v>57</v>
      </c>
      <c r="T43" t="s">
        <v>59</v>
      </c>
      <c r="U43" t="s">
        <v>57</v>
      </c>
      <c r="V43" t="s">
        <v>57</v>
      </c>
    </row>
    <row r="44" spans="1:22" x14ac:dyDescent="0.35">
      <c r="A44" t="s">
        <v>145</v>
      </c>
      <c r="B44" t="s">
        <v>45</v>
      </c>
      <c r="C44" t="s">
        <v>46</v>
      </c>
      <c r="D44" t="s">
        <v>47</v>
      </c>
      <c r="E44" t="s">
        <v>120</v>
      </c>
      <c r="F44" t="s">
        <v>49</v>
      </c>
      <c r="G44" t="s">
        <v>109</v>
      </c>
      <c r="H44" t="s">
        <v>75</v>
      </c>
      <c r="I44" t="s">
        <v>52</v>
      </c>
      <c r="J44" t="s">
        <v>87</v>
      </c>
      <c r="K44" t="s">
        <v>49</v>
      </c>
      <c r="L44" t="s">
        <v>54</v>
      </c>
      <c r="M44" t="s">
        <v>65</v>
      </c>
      <c r="N44" t="s">
        <v>78</v>
      </c>
      <c r="O44" t="s">
        <v>88</v>
      </c>
      <c r="P44" t="s">
        <v>66</v>
      </c>
      <c r="Q44" t="s">
        <v>57</v>
      </c>
      <c r="R44" t="s">
        <v>146</v>
      </c>
      <c r="S44" t="s">
        <v>49</v>
      </c>
      <c r="T44" t="s">
        <v>65</v>
      </c>
      <c r="U44" t="s">
        <v>57</v>
      </c>
      <c r="V44" t="s">
        <v>49</v>
      </c>
    </row>
    <row r="45" spans="1:22" x14ac:dyDescent="0.35">
      <c r="A45" t="s">
        <v>147</v>
      </c>
      <c r="B45" t="s">
        <v>61</v>
      </c>
      <c r="C45" t="s">
        <v>46</v>
      </c>
      <c r="D45" t="s">
        <v>62</v>
      </c>
      <c r="E45" t="s">
        <v>74</v>
      </c>
      <c r="F45" t="s">
        <v>57</v>
      </c>
      <c r="G45" t="s">
        <v>68</v>
      </c>
      <c r="H45" t="s">
        <v>85</v>
      </c>
      <c r="I45" t="s">
        <v>86</v>
      </c>
      <c r="J45" t="s">
        <v>53</v>
      </c>
      <c r="K45" t="s">
        <v>57</v>
      </c>
      <c r="L45" t="s">
        <v>53</v>
      </c>
      <c r="M45" t="s">
        <v>55</v>
      </c>
      <c r="N45" t="s">
        <v>78</v>
      </c>
      <c r="O45" t="s">
        <v>57</v>
      </c>
      <c r="P45" t="s">
        <v>65</v>
      </c>
      <c r="Q45" t="s">
        <v>57</v>
      </c>
      <c r="R45" t="s">
        <v>88</v>
      </c>
      <c r="S45" t="s">
        <v>49</v>
      </c>
      <c r="T45" t="s">
        <v>65</v>
      </c>
      <c r="U45" t="s">
        <v>88</v>
      </c>
      <c r="V45" t="s">
        <v>49</v>
      </c>
    </row>
    <row r="46" spans="1:22" x14ac:dyDescent="0.35">
      <c r="A46" t="s">
        <v>148</v>
      </c>
      <c r="B46" t="s">
        <v>45</v>
      </c>
      <c r="C46" t="s">
        <v>46</v>
      </c>
      <c r="D46" t="s">
        <v>94</v>
      </c>
      <c r="E46" t="s">
        <v>48</v>
      </c>
      <c r="F46" t="s">
        <v>49</v>
      </c>
      <c r="G46" t="s">
        <v>102</v>
      </c>
      <c r="H46" t="s">
        <v>51</v>
      </c>
      <c r="I46" t="s">
        <v>52</v>
      </c>
      <c r="J46" t="s">
        <v>100</v>
      </c>
      <c r="K46" t="s">
        <v>49</v>
      </c>
      <c r="L46" t="s">
        <v>54</v>
      </c>
      <c r="M46" t="s">
        <v>65</v>
      </c>
      <c r="N46" t="s">
        <v>149</v>
      </c>
      <c r="O46" t="s">
        <v>88</v>
      </c>
      <c r="P46" t="s">
        <v>66</v>
      </c>
      <c r="Q46" t="s">
        <v>57</v>
      </c>
      <c r="R46" t="s">
        <v>88</v>
      </c>
      <c r="S46" t="s">
        <v>49</v>
      </c>
      <c r="T46" t="s">
        <v>83</v>
      </c>
      <c r="U46" t="s">
        <v>57</v>
      </c>
      <c r="V46" t="s">
        <v>49</v>
      </c>
    </row>
    <row r="47" spans="1:22" x14ac:dyDescent="0.35">
      <c r="A47" t="s">
        <v>150</v>
      </c>
      <c r="B47" t="s">
        <v>61</v>
      </c>
      <c r="C47" t="s">
        <v>46</v>
      </c>
      <c r="D47" t="s">
        <v>104</v>
      </c>
      <c r="E47" t="s">
        <v>48</v>
      </c>
      <c r="F47" t="s">
        <v>57</v>
      </c>
      <c r="G47" t="s">
        <v>109</v>
      </c>
      <c r="H47" t="s">
        <v>51</v>
      </c>
      <c r="I47" t="s">
        <v>69</v>
      </c>
      <c r="J47" t="s">
        <v>100</v>
      </c>
      <c r="K47" t="s">
        <v>49</v>
      </c>
      <c r="L47" t="s">
        <v>54</v>
      </c>
      <c r="M47" t="s">
        <v>65</v>
      </c>
      <c r="N47" t="s">
        <v>65</v>
      </c>
      <c r="O47" t="s">
        <v>57</v>
      </c>
      <c r="P47" t="s">
        <v>66</v>
      </c>
      <c r="Q47" t="s">
        <v>88</v>
      </c>
      <c r="R47" t="s">
        <v>49</v>
      </c>
      <c r="S47" t="s">
        <v>49</v>
      </c>
      <c r="T47" t="s">
        <v>65</v>
      </c>
      <c r="U47" t="s">
        <v>57</v>
      </c>
      <c r="V47" t="s">
        <v>49</v>
      </c>
    </row>
    <row r="48" spans="1:22" x14ac:dyDescent="0.35">
      <c r="A48" t="s">
        <v>151</v>
      </c>
      <c r="B48" t="s">
        <v>45</v>
      </c>
      <c r="C48" t="s">
        <v>46</v>
      </c>
      <c r="D48" t="s">
        <v>47</v>
      </c>
      <c r="E48" t="s">
        <v>48</v>
      </c>
      <c r="F48" t="s">
        <v>49</v>
      </c>
      <c r="G48" t="s">
        <v>68</v>
      </c>
      <c r="H48" t="s">
        <v>75</v>
      </c>
      <c r="I48" t="s">
        <v>52</v>
      </c>
      <c r="J48" t="s">
        <v>100</v>
      </c>
      <c r="K48" t="s">
        <v>57</v>
      </c>
      <c r="L48" t="s">
        <v>53</v>
      </c>
      <c r="M48" t="s">
        <v>65</v>
      </c>
      <c r="N48" t="s">
        <v>65</v>
      </c>
      <c r="O48" t="s">
        <v>57</v>
      </c>
      <c r="P48" t="s">
        <v>66</v>
      </c>
      <c r="Q48" t="s">
        <v>57</v>
      </c>
      <c r="R48" t="s">
        <v>152</v>
      </c>
      <c r="S48" t="s">
        <v>49</v>
      </c>
      <c r="T48" t="s">
        <v>65</v>
      </c>
      <c r="U48" t="s">
        <v>57</v>
      </c>
      <c r="V48" t="s">
        <v>49</v>
      </c>
    </row>
    <row r="49" spans="1:22" x14ac:dyDescent="0.35">
      <c r="A49" t="s">
        <v>153</v>
      </c>
      <c r="B49" t="s">
        <v>45</v>
      </c>
      <c r="C49" t="s">
        <v>46</v>
      </c>
      <c r="D49" t="s">
        <v>94</v>
      </c>
      <c r="E49" t="s">
        <v>48</v>
      </c>
      <c r="F49" t="s">
        <v>49</v>
      </c>
      <c r="G49" t="s">
        <v>109</v>
      </c>
      <c r="H49" t="s">
        <v>75</v>
      </c>
      <c r="I49" t="s">
        <v>52</v>
      </c>
      <c r="J49" t="s">
        <v>53</v>
      </c>
      <c r="K49" t="s">
        <v>57</v>
      </c>
      <c r="L49" t="s">
        <v>53</v>
      </c>
      <c r="M49" t="s">
        <v>65</v>
      </c>
      <c r="N49" t="s">
        <v>72</v>
      </c>
      <c r="O49" t="s">
        <v>57</v>
      </c>
      <c r="P49" t="s">
        <v>66</v>
      </c>
      <c r="Q49" t="s">
        <v>57</v>
      </c>
      <c r="R49" t="s">
        <v>57</v>
      </c>
      <c r="S49" t="s">
        <v>49</v>
      </c>
      <c r="T49" t="s">
        <v>65</v>
      </c>
      <c r="U49" t="s">
        <v>57</v>
      </c>
      <c r="V49" t="s">
        <v>49</v>
      </c>
    </row>
    <row r="50" spans="1:22" x14ac:dyDescent="0.35">
      <c r="A50" t="s">
        <v>154</v>
      </c>
      <c r="B50" t="s">
        <v>45</v>
      </c>
      <c r="C50" t="s">
        <v>46</v>
      </c>
      <c r="D50" t="s">
        <v>104</v>
      </c>
      <c r="E50" t="s">
        <v>80</v>
      </c>
      <c r="F50" t="s">
        <v>57</v>
      </c>
      <c r="G50" t="s">
        <v>102</v>
      </c>
      <c r="H50" t="s">
        <v>99</v>
      </c>
      <c r="I50" t="s">
        <v>52</v>
      </c>
      <c r="J50" t="s">
        <v>77</v>
      </c>
      <c r="K50" t="s">
        <v>57</v>
      </c>
      <c r="L50" t="s">
        <v>87</v>
      </c>
      <c r="M50" t="s">
        <v>96</v>
      </c>
      <c r="N50" t="s">
        <v>65</v>
      </c>
      <c r="O50" t="s">
        <v>57</v>
      </c>
      <c r="P50" t="s">
        <v>58</v>
      </c>
      <c r="Q50" t="s">
        <v>57</v>
      </c>
      <c r="R50" t="s">
        <v>57</v>
      </c>
      <c r="S50" t="s">
        <v>57</v>
      </c>
      <c r="T50" t="s">
        <v>83</v>
      </c>
      <c r="U50" t="s">
        <v>57</v>
      </c>
      <c r="V50" t="s">
        <v>57</v>
      </c>
    </row>
    <row r="51" spans="1:22" x14ac:dyDescent="0.35">
      <c r="A51" t="s">
        <v>155</v>
      </c>
      <c r="B51" t="s">
        <v>61</v>
      </c>
      <c r="C51" t="s">
        <v>46</v>
      </c>
      <c r="D51" t="s">
        <v>94</v>
      </c>
      <c r="E51" t="s">
        <v>48</v>
      </c>
      <c r="F51" t="s">
        <v>49</v>
      </c>
      <c r="G51" t="s">
        <v>64</v>
      </c>
      <c r="H51" t="s">
        <v>75</v>
      </c>
      <c r="I51" t="s">
        <v>81</v>
      </c>
      <c r="J51" t="s">
        <v>100</v>
      </c>
      <c r="K51" t="s">
        <v>49</v>
      </c>
      <c r="L51" t="s">
        <v>54</v>
      </c>
      <c r="M51" t="s">
        <v>55</v>
      </c>
      <c r="N51" t="s">
        <v>56</v>
      </c>
      <c r="O51" t="s">
        <v>88</v>
      </c>
      <c r="P51" t="s">
        <v>65</v>
      </c>
      <c r="Q51" t="s">
        <v>49</v>
      </c>
      <c r="R51" t="s">
        <v>88</v>
      </c>
      <c r="S51" t="s">
        <v>49</v>
      </c>
      <c r="T51" t="s">
        <v>83</v>
      </c>
      <c r="U51" t="s">
        <v>88</v>
      </c>
      <c r="V51" t="s">
        <v>49</v>
      </c>
    </row>
    <row r="52" spans="1:22" x14ac:dyDescent="0.35">
      <c r="A52" t="s">
        <v>156</v>
      </c>
      <c r="B52" t="s">
        <v>61</v>
      </c>
      <c r="C52" t="s">
        <v>46</v>
      </c>
      <c r="D52" t="s">
        <v>47</v>
      </c>
      <c r="E52" t="s">
        <v>157</v>
      </c>
      <c r="F52" t="s">
        <v>57</v>
      </c>
      <c r="G52" t="s">
        <v>64</v>
      </c>
      <c r="H52" t="s">
        <v>75</v>
      </c>
      <c r="I52" t="s">
        <v>52</v>
      </c>
      <c r="J52" t="s">
        <v>53</v>
      </c>
      <c r="K52" t="s">
        <v>57</v>
      </c>
      <c r="L52" t="s">
        <v>54</v>
      </c>
      <c r="M52" t="s">
        <v>55</v>
      </c>
      <c r="N52" t="s">
        <v>56</v>
      </c>
      <c r="O52" t="s">
        <v>88</v>
      </c>
      <c r="P52" t="s">
        <v>58</v>
      </c>
      <c r="Q52" t="s">
        <v>57</v>
      </c>
      <c r="R52" t="s">
        <v>57</v>
      </c>
      <c r="S52" t="s">
        <v>49</v>
      </c>
      <c r="T52" t="s">
        <v>83</v>
      </c>
      <c r="U52" t="s">
        <v>57</v>
      </c>
      <c r="V52" t="s">
        <v>49</v>
      </c>
    </row>
    <row r="53" spans="1:22" x14ac:dyDescent="0.35">
      <c r="A53" t="s">
        <v>158</v>
      </c>
      <c r="B53" t="s">
        <v>61</v>
      </c>
      <c r="C53" t="s">
        <v>46</v>
      </c>
      <c r="D53" t="s">
        <v>62</v>
      </c>
      <c r="E53" t="s">
        <v>48</v>
      </c>
      <c r="F53" t="s">
        <v>49</v>
      </c>
      <c r="G53" t="s">
        <v>50</v>
      </c>
      <c r="H53" t="s">
        <v>92</v>
      </c>
      <c r="I53" t="s">
        <v>159</v>
      </c>
      <c r="J53" t="s">
        <v>53</v>
      </c>
      <c r="K53" t="s">
        <v>49</v>
      </c>
      <c r="L53" t="s">
        <v>54</v>
      </c>
      <c r="M53" t="s">
        <v>110</v>
      </c>
      <c r="N53" t="s">
        <v>111</v>
      </c>
      <c r="O53" t="s">
        <v>57</v>
      </c>
      <c r="P53" t="s">
        <v>58</v>
      </c>
      <c r="Q53" t="s">
        <v>57</v>
      </c>
      <c r="R53" t="s">
        <v>88</v>
      </c>
      <c r="S53" t="s">
        <v>49</v>
      </c>
      <c r="T53" t="s">
        <v>133</v>
      </c>
      <c r="U53" t="s">
        <v>57</v>
      </c>
      <c r="V53" t="s">
        <v>49</v>
      </c>
    </row>
    <row r="54" spans="1:22" x14ac:dyDescent="0.35">
      <c r="A54" t="s">
        <v>160</v>
      </c>
      <c r="B54" t="s">
        <v>61</v>
      </c>
      <c r="C54" t="s">
        <v>46</v>
      </c>
      <c r="D54" t="s">
        <v>47</v>
      </c>
      <c r="E54" t="s">
        <v>48</v>
      </c>
      <c r="F54" t="s">
        <v>57</v>
      </c>
      <c r="G54" t="s">
        <v>102</v>
      </c>
      <c r="H54" t="s">
        <v>51</v>
      </c>
      <c r="I54" t="s">
        <v>86</v>
      </c>
      <c r="J54" t="s">
        <v>100</v>
      </c>
      <c r="K54" t="s">
        <v>152</v>
      </c>
      <c r="L54" t="s">
        <v>54</v>
      </c>
      <c r="M54" t="s">
        <v>96</v>
      </c>
      <c r="N54" t="s">
        <v>78</v>
      </c>
      <c r="O54" t="s">
        <v>57</v>
      </c>
      <c r="P54" t="s">
        <v>58</v>
      </c>
      <c r="Q54" t="s">
        <v>57</v>
      </c>
      <c r="R54" t="s">
        <v>57</v>
      </c>
      <c r="S54" t="s">
        <v>49</v>
      </c>
      <c r="T54" t="s">
        <v>59</v>
      </c>
      <c r="U54" t="s">
        <v>49</v>
      </c>
      <c r="V54" t="s">
        <v>49</v>
      </c>
    </row>
    <row r="55" spans="1:22" x14ac:dyDescent="0.35">
      <c r="A55" t="s">
        <v>161</v>
      </c>
      <c r="B55" t="s">
        <v>61</v>
      </c>
      <c r="C55" t="s">
        <v>46</v>
      </c>
      <c r="D55" t="s">
        <v>94</v>
      </c>
      <c r="E55" t="s">
        <v>48</v>
      </c>
      <c r="F55" t="s">
        <v>57</v>
      </c>
      <c r="G55" t="s">
        <v>50</v>
      </c>
      <c r="H55" t="s">
        <v>85</v>
      </c>
      <c r="I55" t="s">
        <v>52</v>
      </c>
      <c r="J55" t="s">
        <v>53</v>
      </c>
      <c r="K55" t="s">
        <v>57</v>
      </c>
      <c r="L55" t="s">
        <v>53</v>
      </c>
      <c r="M55" t="s">
        <v>55</v>
      </c>
      <c r="N55" t="s">
        <v>56</v>
      </c>
      <c r="O55" t="s">
        <v>57</v>
      </c>
      <c r="P55" t="s">
        <v>58</v>
      </c>
      <c r="Q55" t="s">
        <v>57</v>
      </c>
      <c r="R55" t="s">
        <v>57</v>
      </c>
      <c r="S55" t="s">
        <v>49</v>
      </c>
      <c r="T55" t="s">
        <v>59</v>
      </c>
      <c r="U55" t="s">
        <v>57</v>
      </c>
      <c r="V55" t="s">
        <v>49</v>
      </c>
    </row>
    <row r="56" spans="1:22" x14ac:dyDescent="0.35">
      <c r="A56" t="s">
        <v>162</v>
      </c>
      <c r="B56" t="s">
        <v>61</v>
      </c>
      <c r="C56" t="s">
        <v>46</v>
      </c>
      <c r="D56" t="s">
        <v>47</v>
      </c>
      <c r="E56" t="s">
        <v>48</v>
      </c>
      <c r="F56" t="s">
        <v>49</v>
      </c>
      <c r="G56" t="s">
        <v>109</v>
      </c>
      <c r="H56" t="s">
        <v>75</v>
      </c>
      <c r="I56" t="s">
        <v>52</v>
      </c>
      <c r="J56" t="s">
        <v>53</v>
      </c>
      <c r="K56" t="s">
        <v>49</v>
      </c>
      <c r="L56" t="s">
        <v>54</v>
      </c>
      <c r="M56" t="s">
        <v>65</v>
      </c>
      <c r="N56" t="s">
        <v>65</v>
      </c>
      <c r="O56" t="s">
        <v>57</v>
      </c>
      <c r="P56" t="s">
        <v>66</v>
      </c>
      <c r="Q56" t="s">
        <v>57</v>
      </c>
      <c r="R56" t="s">
        <v>146</v>
      </c>
      <c r="S56" t="s">
        <v>49</v>
      </c>
      <c r="T56" t="s">
        <v>65</v>
      </c>
      <c r="U56" t="s">
        <v>57</v>
      </c>
      <c r="V56" t="s">
        <v>49</v>
      </c>
    </row>
    <row r="57" spans="1:22" x14ac:dyDescent="0.35">
      <c r="A57" t="s">
        <v>163</v>
      </c>
      <c r="B57" t="s">
        <v>61</v>
      </c>
      <c r="C57" t="s">
        <v>46</v>
      </c>
      <c r="D57" t="s">
        <v>47</v>
      </c>
      <c r="E57" t="s">
        <v>48</v>
      </c>
      <c r="F57" t="s">
        <v>49</v>
      </c>
      <c r="G57" t="s">
        <v>68</v>
      </c>
      <c r="H57" t="s">
        <v>95</v>
      </c>
      <c r="I57" t="s">
        <v>81</v>
      </c>
      <c r="J57" t="s">
        <v>53</v>
      </c>
      <c r="K57" t="s">
        <v>49</v>
      </c>
      <c r="L57" t="s">
        <v>54</v>
      </c>
      <c r="M57" t="s">
        <v>96</v>
      </c>
      <c r="N57" t="s">
        <v>78</v>
      </c>
      <c r="O57" t="s">
        <v>57</v>
      </c>
      <c r="P57" t="s">
        <v>58</v>
      </c>
      <c r="Q57" t="s">
        <v>57</v>
      </c>
      <c r="R57" t="s">
        <v>88</v>
      </c>
      <c r="S57" t="s">
        <v>49</v>
      </c>
      <c r="T57" t="s">
        <v>65</v>
      </c>
      <c r="U57" t="s">
        <v>57</v>
      </c>
      <c r="V57" t="s">
        <v>49</v>
      </c>
    </row>
    <row r="58" spans="1:22" x14ac:dyDescent="0.35">
      <c r="A58" t="s">
        <v>164</v>
      </c>
      <c r="B58" t="s">
        <v>61</v>
      </c>
      <c r="C58" t="s">
        <v>46</v>
      </c>
      <c r="D58" t="s">
        <v>94</v>
      </c>
      <c r="E58" t="s">
        <v>48</v>
      </c>
      <c r="F58" t="s">
        <v>49</v>
      </c>
      <c r="G58" t="s">
        <v>68</v>
      </c>
      <c r="H58" t="s">
        <v>51</v>
      </c>
      <c r="I58" t="s">
        <v>86</v>
      </c>
      <c r="J58" t="s">
        <v>53</v>
      </c>
      <c r="K58" t="s">
        <v>49</v>
      </c>
      <c r="L58" t="s">
        <v>54</v>
      </c>
      <c r="M58" t="s">
        <v>55</v>
      </c>
      <c r="N58" t="s">
        <v>56</v>
      </c>
      <c r="O58" t="s">
        <v>88</v>
      </c>
      <c r="P58" t="s">
        <v>65</v>
      </c>
      <c r="Q58" t="s">
        <v>57</v>
      </c>
      <c r="R58" t="s">
        <v>88</v>
      </c>
      <c r="S58" t="s">
        <v>49</v>
      </c>
      <c r="T58" t="s">
        <v>65</v>
      </c>
      <c r="U58" t="s">
        <v>88</v>
      </c>
      <c r="V58" t="s">
        <v>49</v>
      </c>
    </row>
    <row r="59" spans="1:22" x14ac:dyDescent="0.35">
      <c r="A59" t="s">
        <v>165</v>
      </c>
      <c r="B59" t="s">
        <v>45</v>
      </c>
      <c r="C59" t="s">
        <v>46</v>
      </c>
      <c r="D59" t="s">
        <v>94</v>
      </c>
      <c r="E59" t="s">
        <v>48</v>
      </c>
      <c r="F59" t="s">
        <v>49</v>
      </c>
      <c r="G59" t="s">
        <v>166</v>
      </c>
      <c r="H59" t="s">
        <v>75</v>
      </c>
      <c r="I59" t="s">
        <v>86</v>
      </c>
      <c r="J59" t="s">
        <v>53</v>
      </c>
      <c r="K59" t="s">
        <v>49</v>
      </c>
      <c r="L59" t="s">
        <v>54</v>
      </c>
      <c r="M59" t="s">
        <v>55</v>
      </c>
      <c r="N59" t="s">
        <v>56</v>
      </c>
      <c r="O59" t="s">
        <v>57</v>
      </c>
      <c r="P59" t="s">
        <v>66</v>
      </c>
      <c r="Q59" t="s">
        <v>57</v>
      </c>
      <c r="R59" t="s">
        <v>88</v>
      </c>
      <c r="S59" t="s">
        <v>49</v>
      </c>
      <c r="T59" t="s">
        <v>83</v>
      </c>
      <c r="U59" t="s">
        <v>57</v>
      </c>
      <c r="V59" t="s">
        <v>49</v>
      </c>
    </row>
    <row r="60" spans="1:22" x14ac:dyDescent="0.35">
      <c r="A60" t="s">
        <v>167</v>
      </c>
      <c r="B60" t="s">
        <v>45</v>
      </c>
      <c r="C60" t="s">
        <v>46</v>
      </c>
      <c r="D60" t="s">
        <v>47</v>
      </c>
      <c r="E60" t="s">
        <v>48</v>
      </c>
      <c r="F60" t="s">
        <v>49</v>
      </c>
      <c r="G60" t="s">
        <v>64</v>
      </c>
      <c r="H60" t="s">
        <v>51</v>
      </c>
      <c r="I60" t="s">
        <v>52</v>
      </c>
      <c r="J60" t="s">
        <v>53</v>
      </c>
      <c r="K60" t="s">
        <v>49</v>
      </c>
      <c r="L60" t="s">
        <v>54</v>
      </c>
      <c r="M60" t="s">
        <v>55</v>
      </c>
      <c r="N60" t="s">
        <v>56</v>
      </c>
      <c r="O60" t="s">
        <v>57</v>
      </c>
      <c r="P60" t="s">
        <v>66</v>
      </c>
      <c r="Q60" t="s">
        <v>57</v>
      </c>
      <c r="R60" t="s">
        <v>57</v>
      </c>
      <c r="S60" t="s">
        <v>49</v>
      </c>
      <c r="T60" t="s">
        <v>65</v>
      </c>
      <c r="U60" t="s">
        <v>49</v>
      </c>
      <c r="V60" t="s">
        <v>49</v>
      </c>
    </row>
    <row r="61" spans="1:22" x14ac:dyDescent="0.35">
      <c r="A61" t="s">
        <v>168</v>
      </c>
      <c r="B61" t="s">
        <v>61</v>
      </c>
      <c r="C61" t="s">
        <v>46</v>
      </c>
      <c r="D61" t="s">
        <v>47</v>
      </c>
      <c r="E61" t="s">
        <v>48</v>
      </c>
      <c r="F61" t="s">
        <v>49</v>
      </c>
      <c r="G61" t="s">
        <v>64</v>
      </c>
      <c r="H61" t="s">
        <v>51</v>
      </c>
      <c r="I61" t="s">
        <v>69</v>
      </c>
      <c r="J61" t="s">
        <v>53</v>
      </c>
      <c r="K61" t="s">
        <v>49</v>
      </c>
      <c r="L61" t="s">
        <v>54</v>
      </c>
      <c r="M61" t="s">
        <v>55</v>
      </c>
      <c r="N61" t="s">
        <v>56</v>
      </c>
      <c r="O61" t="s">
        <v>57</v>
      </c>
      <c r="P61" t="s">
        <v>66</v>
      </c>
      <c r="Q61" t="s">
        <v>57</v>
      </c>
      <c r="R61" t="s">
        <v>57</v>
      </c>
      <c r="S61" t="s">
        <v>49</v>
      </c>
      <c r="T61" t="s">
        <v>83</v>
      </c>
      <c r="U61" t="s">
        <v>57</v>
      </c>
      <c r="V61" t="s">
        <v>57</v>
      </c>
    </row>
    <row r="62" spans="1:22" x14ac:dyDescent="0.35">
      <c r="A62" t="s">
        <v>169</v>
      </c>
      <c r="B62" t="s">
        <v>61</v>
      </c>
      <c r="C62" t="s">
        <v>46</v>
      </c>
      <c r="D62" t="s">
        <v>47</v>
      </c>
      <c r="E62" t="s">
        <v>48</v>
      </c>
      <c r="F62" t="s">
        <v>49</v>
      </c>
      <c r="G62" t="s">
        <v>64</v>
      </c>
      <c r="H62" t="s">
        <v>75</v>
      </c>
      <c r="I62" t="s">
        <v>86</v>
      </c>
      <c r="J62" t="s">
        <v>53</v>
      </c>
      <c r="K62" t="s">
        <v>49</v>
      </c>
      <c r="L62" t="s">
        <v>54</v>
      </c>
      <c r="M62" t="s">
        <v>65</v>
      </c>
      <c r="N62" t="s">
        <v>65</v>
      </c>
      <c r="O62" t="s">
        <v>57</v>
      </c>
      <c r="P62" t="s">
        <v>65</v>
      </c>
      <c r="Q62" t="s">
        <v>57</v>
      </c>
      <c r="R62" t="s">
        <v>88</v>
      </c>
      <c r="S62" t="s">
        <v>49</v>
      </c>
      <c r="T62" t="s">
        <v>65</v>
      </c>
      <c r="U62" t="s">
        <v>88</v>
      </c>
      <c r="V62" t="s">
        <v>49</v>
      </c>
    </row>
    <row r="63" spans="1:22" x14ac:dyDescent="0.35">
      <c r="A63" t="s">
        <v>170</v>
      </c>
      <c r="B63" t="s">
        <v>45</v>
      </c>
      <c r="C63" t="s">
        <v>46</v>
      </c>
      <c r="D63" t="s">
        <v>94</v>
      </c>
      <c r="E63" t="s">
        <v>157</v>
      </c>
      <c r="F63" t="s">
        <v>57</v>
      </c>
      <c r="G63" t="s">
        <v>50</v>
      </c>
      <c r="H63" t="s">
        <v>51</v>
      </c>
      <c r="I63" t="s">
        <v>52</v>
      </c>
      <c r="J63" t="s">
        <v>53</v>
      </c>
      <c r="K63" t="s">
        <v>57</v>
      </c>
      <c r="L63" t="s">
        <v>53</v>
      </c>
      <c r="M63" t="s">
        <v>55</v>
      </c>
      <c r="N63" t="s">
        <v>78</v>
      </c>
      <c r="O63" t="s">
        <v>57</v>
      </c>
      <c r="P63" t="s">
        <v>66</v>
      </c>
      <c r="Q63" t="s">
        <v>57</v>
      </c>
      <c r="R63" t="s">
        <v>88</v>
      </c>
      <c r="S63" t="s">
        <v>57</v>
      </c>
      <c r="T63" t="s">
        <v>83</v>
      </c>
      <c r="U63" t="s">
        <v>88</v>
      </c>
      <c r="V63" t="s">
        <v>57</v>
      </c>
    </row>
    <row r="64" spans="1:22" x14ac:dyDescent="0.35">
      <c r="A64" t="s">
        <v>171</v>
      </c>
      <c r="B64" t="s">
        <v>61</v>
      </c>
      <c r="C64" t="s">
        <v>46</v>
      </c>
      <c r="D64" t="s">
        <v>94</v>
      </c>
      <c r="E64" t="s">
        <v>48</v>
      </c>
      <c r="F64" t="s">
        <v>49</v>
      </c>
      <c r="G64" t="s">
        <v>68</v>
      </c>
      <c r="H64" t="s">
        <v>95</v>
      </c>
      <c r="I64" t="s">
        <v>52</v>
      </c>
      <c r="J64" t="s">
        <v>53</v>
      </c>
      <c r="K64" t="s">
        <v>49</v>
      </c>
      <c r="L64" t="s">
        <v>54</v>
      </c>
      <c r="M64" t="s">
        <v>55</v>
      </c>
      <c r="N64" t="s">
        <v>56</v>
      </c>
      <c r="O64" t="s">
        <v>57</v>
      </c>
      <c r="P64" t="s">
        <v>66</v>
      </c>
      <c r="Q64" t="s">
        <v>57</v>
      </c>
      <c r="R64" t="s">
        <v>49</v>
      </c>
      <c r="S64" t="s">
        <v>49</v>
      </c>
      <c r="T64" t="s">
        <v>59</v>
      </c>
      <c r="U64" t="s">
        <v>57</v>
      </c>
      <c r="V64" t="s">
        <v>49</v>
      </c>
    </row>
    <row r="65" spans="1:22" x14ac:dyDescent="0.35">
      <c r="A65" t="s">
        <v>172</v>
      </c>
      <c r="B65" t="s">
        <v>45</v>
      </c>
      <c r="C65" t="s">
        <v>46</v>
      </c>
      <c r="D65" t="s">
        <v>94</v>
      </c>
      <c r="E65" t="s">
        <v>48</v>
      </c>
      <c r="F65" t="s">
        <v>49</v>
      </c>
      <c r="G65" t="s">
        <v>68</v>
      </c>
      <c r="H65" t="s">
        <v>51</v>
      </c>
      <c r="I65" t="s">
        <v>86</v>
      </c>
      <c r="J65" t="s">
        <v>53</v>
      </c>
      <c r="K65" t="s">
        <v>49</v>
      </c>
      <c r="L65" t="s">
        <v>54</v>
      </c>
      <c r="M65" t="s">
        <v>96</v>
      </c>
      <c r="N65" t="s">
        <v>65</v>
      </c>
      <c r="O65" t="s">
        <v>88</v>
      </c>
      <c r="P65" t="s">
        <v>105</v>
      </c>
      <c r="Q65" t="s">
        <v>88</v>
      </c>
      <c r="R65" t="s">
        <v>88</v>
      </c>
      <c r="S65" t="s">
        <v>49</v>
      </c>
      <c r="T65" t="s">
        <v>65</v>
      </c>
      <c r="U65" t="s">
        <v>88</v>
      </c>
      <c r="V65" t="s">
        <v>49</v>
      </c>
    </row>
    <row r="66" spans="1:22" x14ac:dyDescent="0.35">
      <c r="A66" t="s">
        <v>173</v>
      </c>
      <c r="B66" t="s">
        <v>45</v>
      </c>
      <c r="C66" t="s">
        <v>46</v>
      </c>
      <c r="D66" t="s">
        <v>47</v>
      </c>
      <c r="E66" t="s">
        <v>48</v>
      </c>
      <c r="F66" t="s">
        <v>49</v>
      </c>
      <c r="G66" t="s">
        <v>68</v>
      </c>
      <c r="H66" t="s">
        <v>51</v>
      </c>
      <c r="I66" t="s">
        <v>86</v>
      </c>
      <c r="J66" t="s">
        <v>53</v>
      </c>
      <c r="K66" t="s">
        <v>57</v>
      </c>
      <c r="L66" t="s">
        <v>87</v>
      </c>
      <c r="M66" t="s">
        <v>65</v>
      </c>
      <c r="N66" t="s">
        <v>78</v>
      </c>
      <c r="O66" t="s">
        <v>49</v>
      </c>
      <c r="P66" t="s">
        <v>65</v>
      </c>
      <c r="Q66" t="s">
        <v>49</v>
      </c>
      <c r="R66" t="s">
        <v>57</v>
      </c>
      <c r="S66" t="s">
        <v>49</v>
      </c>
      <c r="T66" t="s">
        <v>59</v>
      </c>
      <c r="U66" t="s">
        <v>57</v>
      </c>
      <c r="V66" t="s">
        <v>57</v>
      </c>
    </row>
    <row r="67" spans="1:22" x14ac:dyDescent="0.35">
      <c r="A67" t="s">
        <v>174</v>
      </c>
      <c r="B67" t="s">
        <v>61</v>
      </c>
      <c r="C67" t="s">
        <v>46</v>
      </c>
      <c r="D67" t="s">
        <v>62</v>
      </c>
      <c r="E67" t="s">
        <v>48</v>
      </c>
      <c r="F67" t="s">
        <v>49</v>
      </c>
      <c r="G67" t="s">
        <v>109</v>
      </c>
      <c r="H67" t="s">
        <v>75</v>
      </c>
      <c r="I67" t="s">
        <v>81</v>
      </c>
      <c r="J67" t="s">
        <v>53</v>
      </c>
      <c r="K67" t="s">
        <v>49</v>
      </c>
      <c r="L67" t="s">
        <v>54</v>
      </c>
      <c r="M67" t="s">
        <v>65</v>
      </c>
      <c r="N67" t="s">
        <v>65</v>
      </c>
      <c r="O67" t="s">
        <v>88</v>
      </c>
      <c r="P67" t="s">
        <v>65</v>
      </c>
      <c r="Q67" t="s">
        <v>88</v>
      </c>
      <c r="R67" t="s">
        <v>88</v>
      </c>
      <c r="S67" t="s">
        <v>49</v>
      </c>
      <c r="T67" t="s">
        <v>65</v>
      </c>
      <c r="U67" t="s">
        <v>88</v>
      </c>
      <c r="V67" t="s">
        <v>49</v>
      </c>
    </row>
    <row r="68" spans="1:22" x14ac:dyDescent="0.35">
      <c r="A68" t="s">
        <v>175</v>
      </c>
      <c r="B68" t="s">
        <v>61</v>
      </c>
      <c r="C68" t="s">
        <v>46</v>
      </c>
      <c r="D68" t="s">
        <v>94</v>
      </c>
      <c r="E68" t="s">
        <v>48</v>
      </c>
      <c r="F68" t="s">
        <v>49</v>
      </c>
      <c r="G68" t="s">
        <v>68</v>
      </c>
      <c r="H68" t="s">
        <v>51</v>
      </c>
      <c r="I68" t="s">
        <v>69</v>
      </c>
      <c r="J68" t="s">
        <v>53</v>
      </c>
      <c r="K68" t="s">
        <v>49</v>
      </c>
      <c r="L68" t="s">
        <v>54</v>
      </c>
      <c r="M68" t="s">
        <v>55</v>
      </c>
      <c r="N68" t="s">
        <v>56</v>
      </c>
      <c r="O68" t="s">
        <v>57</v>
      </c>
      <c r="P68" t="s">
        <v>66</v>
      </c>
      <c r="Q68" t="s">
        <v>57</v>
      </c>
      <c r="R68" t="s">
        <v>57</v>
      </c>
      <c r="S68" t="s">
        <v>49</v>
      </c>
      <c r="T68" t="s">
        <v>83</v>
      </c>
      <c r="U68" t="s">
        <v>57</v>
      </c>
      <c r="V68" t="s">
        <v>49</v>
      </c>
    </row>
    <row r="69" spans="1:22" x14ac:dyDescent="0.35">
      <c r="A69" t="s">
        <v>176</v>
      </c>
      <c r="B69" t="s">
        <v>45</v>
      </c>
      <c r="C69" t="s">
        <v>46</v>
      </c>
      <c r="D69" t="s">
        <v>47</v>
      </c>
      <c r="E69" t="s">
        <v>48</v>
      </c>
      <c r="F69" t="s">
        <v>49</v>
      </c>
      <c r="G69" t="s">
        <v>68</v>
      </c>
      <c r="H69" t="s">
        <v>51</v>
      </c>
      <c r="I69" t="s">
        <v>86</v>
      </c>
      <c r="J69" t="s">
        <v>53</v>
      </c>
      <c r="K69" t="s">
        <v>49</v>
      </c>
      <c r="L69" t="s">
        <v>54</v>
      </c>
      <c r="M69" t="s">
        <v>177</v>
      </c>
      <c r="N69" t="s">
        <v>56</v>
      </c>
      <c r="O69" t="s">
        <v>57</v>
      </c>
      <c r="P69" t="s">
        <v>58</v>
      </c>
      <c r="Q69" t="s">
        <v>57</v>
      </c>
      <c r="R69" t="s">
        <v>49</v>
      </c>
      <c r="S69" t="s">
        <v>49</v>
      </c>
      <c r="T69" t="s">
        <v>59</v>
      </c>
      <c r="U69" t="s">
        <v>57</v>
      </c>
      <c r="V69" t="s">
        <v>49</v>
      </c>
    </row>
    <row r="70" spans="1:22" x14ac:dyDescent="0.35">
      <c r="A70" t="s">
        <v>178</v>
      </c>
      <c r="B70" t="s">
        <v>61</v>
      </c>
      <c r="C70" t="s">
        <v>46</v>
      </c>
      <c r="D70" t="s">
        <v>47</v>
      </c>
      <c r="E70" t="s">
        <v>48</v>
      </c>
      <c r="F70" t="s">
        <v>57</v>
      </c>
      <c r="G70" t="s">
        <v>68</v>
      </c>
      <c r="H70" t="s">
        <v>95</v>
      </c>
      <c r="I70" t="s">
        <v>52</v>
      </c>
      <c r="J70" t="s">
        <v>100</v>
      </c>
      <c r="K70" t="s">
        <v>49</v>
      </c>
      <c r="L70" t="s">
        <v>54</v>
      </c>
      <c r="M70" t="s">
        <v>71</v>
      </c>
      <c r="N70" t="s">
        <v>78</v>
      </c>
      <c r="O70" t="s">
        <v>57</v>
      </c>
      <c r="P70" t="s">
        <v>66</v>
      </c>
      <c r="Q70" t="s">
        <v>57</v>
      </c>
      <c r="R70" t="s">
        <v>57</v>
      </c>
      <c r="S70" t="s">
        <v>49</v>
      </c>
      <c r="T70" t="s">
        <v>179</v>
      </c>
      <c r="U70" t="s">
        <v>49</v>
      </c>
      <c r="V70" t="s">
        <v>49</v>
      </c>
    </row>
    <row r="71" spans="1:22" x14ac:dyDescent="0.35">
      <c r="A71" t="s">
        <v>180</v>
      </c>
      <c r="B71" t="s">
        <v>45</v>
      </c>
      <c r="C71" t="s">
        <v>46</v>
      </c>
      <c r="D71" t="s">
        <v>94</v>
      </c>
      <c r="E71" t="s">
        <v>48</v>
      </c>
      <c r="F71" t="s">
        <v>49</v>
      </c>
      <c r="G71" t="s">
        <v>109</v>
      </c>
      <c r="H71" t="s">
        <v>75</v>
      </c>
      <c r="I71" t="s">
        <v>69</v>
      </c>
      <c r="J71" t="s">
        <v>53</v>
      </c>
      <c r="K71" t="s">
        <v>49</v>
      </c>
      <c r="L71" t="s">
        <v>54</v>
      </c>
      <c r="M71" t="s">
        <v>65</v>
      </c>
      <c r="N71" t="s">
        <v>65</v>
      </c>
      <c r="O71" t="s">
        <v>57</v>
      </c>
      <c r="P71" t="s">
        <v>66</v>
      </c>
      <c r="Q71" t="s">
        <v>57</v>
      </c>
      <c r="R71" t="s">
        <v>88</v>
      </c>
      <c r="S71" t="s">
        <v>49</v>
      </c>
      <c r="T71" t="s">
        <v>65</v>
      </c>
      <c r="U71" t="s">
        <v>57</v>
      </c>
      <c r="V71" t="s">
        <v>49</v>
      </c>
    </row>
    <row r="72" spans="1:22" x14ac:dyDescent="0.35">
      <c r="A72" t="s">
        <v>181</v>
      </c>
      <c r="B72" t="s">
        <v>61</v>
      </c>
      <c r="C72" t="s">
        <v>46</v>
      </c>
      <c r="D72" t="s">
        <v>94</v>
      </c>
      <c r="E72" t="s">
        <v>48</v>
      </c>
      <c r="F72" t="s">
        <v>49</v>
      </c>
      <c r="G72" t="s">
        <v>64</v>
      </c>
      <c r="H72" t="s">
        <v>75</v>
      </c>
      <c r="I72" t="s">
        <v>52</v>
      </c>
      <c r="J72" t="s">
        <v>100</v>
      </c>
      <c r="K72" t="s">
        <v>57</v>
      </c>
      <c r="L72" t="s">
        <v>53</v>
      </c>
      <c r="M72" t="s">
        <v>55</v>
      </c>
      <c r="N72" t="s">
        <v>78</v>
      </c>
      <c r="O72" t="s">
        <v>88</v>
      </c>
      <c r="P72" t="s">
        <v>182</v>
      </c>
      <c r="Q72" t="s">
        <v>57</v>
      </c>
      <c r="R72" t="s">
        <v>88</v>
      </c>
      <c r="S72" t="s">
        <v>49</v>
      </c>
      <c r="T72" t="s">
        <v>65</v>
      </c>
      <c r="U72" t="s">
        <v>49</v>
      </c>
      <c r="V72" t="s">
        <v>49</v>
      </c>
    </row>
    <row r="73" spans="1:22" x14ac:dyDescent="0.35">
      <c r="A73" t="s">
        <v>183</v>
      </c>
      <c r="B73" t="s">
        <v>184</v>
      </c>
      <c r="C73" t="s">
        <v>46</v>
      </c>
      <c r="D73" t="s">
        <v>62</v>
      </c>
      <c r="E73" t="s">
        <v>48</v>
      </c>
      <c r="F73" t="s">
        <v>49</v>
      </c>
      <c r="G73" t="s">
        <v>64</v>
      </c>
      <c r="H73" t="s">
        <v>75</v>
      </c>
      <c r="I73" t="s">
        <v>52</v>
      </c>
      <c r="J73" t="s">
        <v>53</v>
      </c>
      <c r="K73" t="s">
        <v>49</v>
      </c>
      <c r="L73" t="s">
        <v>54</v>
      </c>
      <c r="M73" t="s">
        <v>65</v>
      </c>
      <c r="N73" t="s">
        <v>65</v>
      </c>
      <c r="O73" t="s">
        <v>88</v>
      </c>
      <c r="P73" t="s">
        <v>105</v>
      </c>
      <c r="Q73" t="s">
        <v>57</v>
      </c>
      <c r="R73" t="s">
        <v>88</v>
      </c>
      <c r="S73" t="s">
        <v>49</v>
      </c>
      <c r="T73" t="s">
        <v>65</v>
      </c>
      <c r="U73" t="s">
        <v>57</v>
      </c>
      <c r="V73" t="s">
        <v>57</v>
      </c>
    </row>
    <row r="74" spans="1:22" x14ac:dyDescent="0.35">
      <c r="A74" t="s">
        <v>185</v>
      </c>
      <c r="B74" t="s">
        <v>61</v>
      </c>
      <c r="C74" t="s">
        <v>46</v>
      </c>
      <c r="D74" t="s">
        <v>47</v>
      </c>
      <c r="E74" t="s">
        <v>48</v>
      </c>
      <c r="F74" t="s">
        <v>49</v>
      </c>
      <c r="G74" t="s">
        <v>68</v>
      </c>
      <c r="H74" t="s">
        <v>75</v>
      </c>
      <c r="I74" t="s">
        <v>52</v>
      </c>
      <c r="J74" t="s">
        <v>53</v>
      </c>
      <c r="K74" t="s">
        <v>49</v>
      </c>
      <c r="L74" t="s">
        <v>54</v>
      </c>
      <c r="M74" t="s">
        <v>65</v>
      </c>
      <c r="N74" t="s">
        <v>65</v>
      </c>
      <c r="O74" t="s">
        <v>57</v>
      </c>
      <c r="P74" t="s">
        <v>66</v>
      </c>
      <c r="Q74" t="s">
        <v>57</v>
      </c>
      <c r="R74" t="s">
        <v>57</v>
      </c>
      <c r="S74" t="s">
        <v>57</v>
      </c>
      <c r="T74" t="s">
        <v>59</v>
      </c>
      <c r="U74" t="s">
        <v>57</v>
      </c>
      <c r="V74" t="s">
        <v>57</v>
      </c>
    </row>
    <row r="75" spans="1:22" x14ac:dyDescent="0.35">
      <c r="A75" t="s">
        <v>186</v>
      </c>
      <c r="B75" t="s">
        <v>45</v>
      </c>
      <c r="C75" t="s">
        <v>46</v>
      </c>
      <c r="D75" t="s">
        <v>47</v>
      </c>
      <c r="E75" t="s">
        <v>48</v>
      </c>
      <c r="F75" t="s">
        <v>49</v>
      </c>
      <c r="G75" t="s">
        <v>64</v>
      </c>
      <c r="H75" t="s">
        <v>51</v>
      </c>
      <c r="I75" t="s">
        <v>86</v>
      </c>
      <c r="J75" t="s">
        <v>87</v>
      </c>
      <c r="K75" t="s">
        <v>49</v>
      </c>
      <c r="L75" t="s">
        <v>54</v>
      </c>
      <c r="M75" t="s">
        <v>96</v>
      </c>
      <c r="N75" t="s">
        <v>78</v>
      </c>
      <c r="O75" t="s">
        <v>57</v>
      </c>
      <c r="P75" t="s">
        <v>66</v>
      </c>
      <c r="Q75" t="s">
        <v>57</v>
      </c>
      <c r="R75" t="s">
        <v>57</v>
      </c>
      <c r="S75" t="s">
        <v>49</v>
      </c>
      <c r="T75" t="s">
        <v>83</v>
      </c>
      <c r="U75" t="s">
        <v>57</v>
      </c>
      <c r="V75" t="s">
        <v>49</v>
      </c>
    </row>
    <row r="76" spans="1:22" x14ac:dyDescent="0.35">
      <c r="A76" t="s">
        <v>187</v>
      </c>
      <c r="B76" t="s">
        <v>61</v>
      </c>
      <c r="C76" t="s">
        <v>46</v>
      </c>
      <c r="D76" t="s">
        <v>94</v>
      </c>
      <c r="E76" t="s">
        <v>48</v>
      </c>
      <c r="F76" t="s">
        <v>49</v>
      </c>
      <c r="G76" t="s">
        <v>64</v>
      </c>
      <c r="H76" t="s">
        <v>51</v>
      </c>
      <c r="I76" t="s">
        <v>81</v>
      </c>
      <c r="J76" t="s">
        <v>53</v>
      </c>
      <c r="K76" t="s">
        <v>49</v>
      </c>
      <c r="L76" t="s">
        <v>54</v>
      </c>
      <c r="M76" t="s">
        <v>71</v>
      </c>
      <c r="N76" t="s">
        <v>188</v>
      </c>
      <c r="O76" t="s">
        <v>57</v>
      </c>
      <c r="P76" t="s">
        <v>58</v>
      </c>
      <c r="Q76" t="s">
        <v>57</v>
      </c>
      <c r="R76" t="s">
        <v>49</v>
      </c>
      <c r="S76" t="s">
        <v>49</v>
      </c>
      <c r="T76" t="s">
        <v>59</v>
      </c>
      <c r="U76" t="s">
        <v>57</v>
      </c>
      <c r="V76" t="s">
        <v>49</v>
      </c>
    </row>
    <row r="77" spans="1:22" x14ac:dyDescent="0.35">
      <c r="A77" t="s">
        <v>189</v>
      </c>
      <c r="B77" t="s">
        <v>61</v>
      </c>
      <c r="C77" t="s">
        <v>46</v>
      </c>
      <c r="D77" t="s">
        <v>47</v>
      </c>
      <c r="E77" t="s">
        <v>48</v>
      </c>
      <c r="F77" t="s">
        <v>49</v>
      </c>
      <c r="G77" t="s">
        <v>109</v>
      </c>
      <c r="H77" t="s">
        <v>75</v>
      </c>
      <c r="I77" t="s">
        <v>52</v>
      </c>
      <c r="J77" t="s">
        <v>53</v>
      </c>
      <c r="K77" t="s">
        <v>49</v>
      </c>
      <c r="L77" t="s">
        <v>54</v>
      </c>
      <c r="M77" t="s">
        <v>96</v>
      </c>
      <c r="N77" t="s">
        <v>65</v>
      </c>
      <c r="O77" t="s">
        <v>88</v>
      </c>
      <c r="P77" t="s">
        <v>65</v>
      </c>
      <c r="Q77" t="s">
        <v>57</v>
      </c>
      <c r="R77" t="s">
        <v>88</v>
      </c>
      <c r="S77" t="s">
        <v>49</v>
      </c>
      <c r="T77" t="s">
        <v>65</v>
      </c>
      <c r="U77" t="s">
        <v>57</v>
      </c>
      <c r="V77" t="s">
        <v>49</v>
      </c>
    </row>
    <row r="78" spans="1:22" x14ac:dyDescent="0.35">
      <c r="A78" t="s">
        <v>190</v>
      </c>
      <c r="B78" t="s">
        <v>61</v>
      </c>
      <c r="C78" t="s">
        <v>46</v>
      </c>
      <c r="D78" t="s">
        <v>191</v>
      </c>
      <c r="E78" t="s">
        <v>48</v>
      </c>
      <c r="F78" t="s">
        <v>49</v>
      </c>
      <c r="G78" t="s">
        <v>68</v>
      </c>
      <c r="H78" t="s">
        <v>51</v>
      </c>
      <c r="I78" t="s">
        <v>52</v>
      </c>
      <c r="J78" t="s">
        <v>53</v>
      </c>
      <c r="K78" t="s">
        <v>49</v>
      </c>
      <c r="L78" t="s">
        <v>54</v>
      </c>
      <c r="M78" t="s">
        <v>55</v>
      </c>
      <c r="N78" t="s">
        <v>56</v>
      </c>
      <c r="O78" t="s">
        <v>57</v>
      </c>
      <c r="P78" t="s">
        <v>58</v>
      </c>
      <c r="Q78" t="s">
        <v>57</v>
      </c>
      <c r="R78" t="s">
        <v>57</v>
      </c>
      <c r="S78" t="s">
        <v>57</v>
      </c>
      <c r="T78" t="s">
        <v>83</v>
      </c>
      <c r="U78" t="s">
        <v>57</v>
      </c>
      <c r="V78" t="s">
        <v>49</v>
      </c>
    </row>
    <row r="79" spans="1:22" x14ac:dyDescent="0.35">
      <c r="A79" t="s">
        <v>192</v>
      </c>
      <c r="B79" t="s">
        <v>61</v>
      </c>
      <c r="C79" t="s">
        <v>46</v>
      </c>
      <c r="D79" t="s">
        <v>94</v>
      </c>
      <c r="E79" t="s">
        <v>48</v>
      </c>
      <c r="F79" t="s">
        <v>49</v>
      </c>
      <c r="G79" t="s">
        <v>68</v>
      </c>
      <c r="H79" t="s">
        <v>51</v>
      </c>
      <c r="I79" t="s">
        <v>159</v>
      </c>
      <c r="J79" t="s">
        <v>53</v>
      </c>
      <c r="K79" t="s">
        <v>57</v>
      </c>
      <c r="L79" t="s">
        <v>193</v>
      </c>
      <c r="M79" t="s">
        <v>96</v>
      </c>
      <c r="N79" t="s">
        <v>78</v>
      </c>
      <c r="O79" t="s">
        <v>57</v>
      </c>
      <c r="P79" t="s">
        <v>66</v>
      </c>
      <c r="Q79" t="s">
        <v>57</v>
      </c>
      <c r="R79" t="s">
        <v>57</v>
      </c>
      <c r="S79" t="s">
        <v>49</v>
      </c>
      <c r="T79" t="s">
        <v>65</v>
      </c>
      <c r="U79" t="s">
        <v>57</v>
      </c>
      <c r="V79" t="s">
        <v>152</v>
      </c>
    </row>
    <row r="80" spans="1:22" x14ac:dyDescent="0.35">
      <c r="A80" t="s">
        <v>194</v>
      </c>
      <c r="B80" t="s">
        <v>61</v>
      </c>
      <c r="C80" t="s">
        <v>46</v>
      </c>
      <c r="D80" t="s">
        <v>94</v>
      </c>
      <c r="E80" t="s">
        <v>157</v>
      </c>
      <c r="F80" t="s">
        <v>57</v>
      </c>
      <c r="G80" t="s">
        <v>68</v>
      </c>
      <c r="H80" t="s">
        <v>51</v>
      </c>
      <c r="I80" t="s">
        <v>52</v>
      </c>
      <c r="J80" t="s">
        <v>53</v>
      </c>
      <c r="K80" t="s">
        <v>49</v>
      </c>
      <c r="L80" t="s">
        <v>54</v>
      </c>
      <c r="M80" t="s">
        <v>96</v>
      </c>
      <c r="N80" t="s">
        <v>65</v>
      </c>
      <c r="O80" t="s">
        <v>57</v>
      </c>
      <c r="P80" t="s">
        <v>58</v>
      </c>
      <c r="Q80" t="s">
        <v>57</v>
      </c>
      <c r="R80" t="s">
        <v>195</v>
      </c>
      <c r="S80" t="s">
        <v>49</v>
      </c>
      <c r="T80" t="s">
        <v>83</v>
      </c>
      <c r="U80" t="s">
        <v>88</v>
      </c>
      <c r="V80" t="s">
        <v>49</v>
      </c>
    </row>
    <row r="81" spans="1:22" x14ac:dyDescent="0.35">
      <c r="A81" t="s">
        <v>196</v>
      </c>
      <c r="B81" t="s">
        <v>45</v>
      </c>
      <c r="C81" t="s">
        <v>46</v>
      </c>
      <c r="D81" t="s">
        <v>94</v>
      </c>
      <c r="E81" t="s">
        <v>48</v>
      </c>
      <c r="F81" t="s">
        <v>49</v>
      </c>
      <c r="G81" t="s">
        <v>64</v>
      </c>
      <c r="H81" t="s">
        <v>51</v>
      </c>
      <c r="I81" t="s">
        <v>86</v>
      </c>
      <c r="J81" t="s">
        <v>53</v>
      </c>
      <c r="K81" t="s">
        <v>49</v>
      </c>
      <c r="L81" t="s">
        <v>54</v>
      </c>
      <c r="M81" t="s">
        <v>65</v>
      </c>
      <c r="N81" t="s">
        <v>65</v>
      </c>
      <c r="O81" t="s">
        <v>57</v>
      </c>
      <c r="P81" t="s">
        <v>65</v>
      </c>
      <c r="Q81" t="s">
        <v>57</v>
      </c>
      <c r="R81" t="s">
        <v>57</v>
      </c>
      <c r="S81" t="s">
        <v>49</v>
      </c>
      <c r="T81" t="s">
        <v>65</v>
      </c>
      <c r="U81" t="s">
        <v>57</v>
      </c>
      <c r="V81" t="s">
        <v>49</v>
      </c>
    </row>
    <row r="82" spans="1:22" x14ac:dyDescent="0.35">
      <c r="A82" t="s">
        <v>197</v>
      </c>
      <c r="B82" t="s">
        <v>45</v>
      </c>
      <c r="C82" t="s">
        <v>46</v>
      </c>
      <c r="D82" t="s">
        <v>94</v>
      </c>
      <c r="E82" t="s">
        <v>48</v>
      </c>
      <c r="F82" t="s">
        <v>57</v>
      </c>
      <c r="G82" t="s">
        <v>102</v>
      </c>
      <c r="H82" t="s">
        <v>51</v>
      </c>
      <c r="I82" t="s">
        <v>86</v>
      </c>
      <c r="J82" t="s">
        <v>53</v>
      </c>
      <c r="K82" t="s">
        <v>57</v>
      </c>
      <c r="L82" t="s">
        <v>53</v>
      </c>
      <c r="M82" t="s">
        <v>96</v>
      </c>
      <c r="N82" t="s">
        <v>78</v>
      </c>
      <c r="O82" t="s">
        <v>57</v>
      </c>
      <c r="P82" t="s">
        <v>66</v>
      </c>
      <c r="Q82" t="s">
        <v>57</v>
      </c>
      <c r="R82" t="s">
        <v>57</v>
      </c>
      <c r="S82" t="s">
        <v>57</v>
      </c>
      <c r="T82" t="s">
        <v>83</v>
      </c>
      <c r="U82" t="s">
        <v>57</v>
      </c>
      <c r="V82" t="s">
        <v>57</v>
      </c>
    </row>
    <row r="83" spans="1:22" x14ac:dyDescent="0.35">
      <c r="A83" t="s">
        <v>198</v>
      </c>
      <c r="B83" t="s">
        <v>61</v>
      </c>
      <c r="C83" t="s">
        <v>46</v>
      </c>
      <c r="D83" t="s">
        <v>62</v>
      </c>
      <c r="E83" t="s">
        <v>48</v>
      </c>
      <c r="F83" t="s">
        <v>49</v>
      </c>
      <c r="G83" t="s">
        <v>64</v>
      </c>
      <c r="H83" t="s">
        <v>75</v>
      </c>
      <c r="I83" t="s">
        <v>52</v>
      </c>
      <c r="J83" t="s">
        <v>76</v>
      </c>
      <c r="K83" t="s">
        <v>49</v>
      </c>
      <c r="L83" t="s">
        <v>82</v>
      </c>
      <c r="M83" t="s">
        <v>65</v>
      </c>
      <c r="N83" t="s">
        <v>65</v>
      </c>
      <c r="O83" t="s">
        <v>88</v>
      </c>
      <c r="P83" t="s">
        <v>65</v>
      </c>
      <c r="Q83" t="s">
        <v>88</v>
      </c>
      <c r="R83" t="s">
        <v>49</v>
      </c>
      <c r="S83" t="s">
        <v>49</v>
      </c>
      <c r="T83" t="s">
        <v>65</v>
      </c>
      <c r="U83" t="s">
        <v>49</v>
      </c>
      <c r="V83" t="s">
        <v>49</v>
      </c>
    </row>
    <row r="84" spans="1:22" x14ac:dyDescent="0.35">
      <c r="A84" t="s">
        <v>199</v>
      </c>
      <c r="B84" t="s">
        <v>45</v>
      </c>
      <c r="C84" t="s">
        <v>46</v>
      </c>
      <c r="D84" t="s">
        <v>47</v>
      </c>
      <c r="E84" t="s">
        <v>48</v>
      </c>
      <c r="F84" t="s">
        <v>49</v>
      </c>
      <c r="G84" t="s">
        <v>68</v>
      </c>
      <c r="H84" t="s">
        <v>95</v>
      </c>
      <c r="I84" t="s">
        <v>86</v>
      </c>
      <c r="J84" t="s">
        <v>53</v>
      </c>
      <c r="K84" t="s">
        <v>49</v>
      </c>
      <c r="L84" t="s">
        <v>54</v>
      </c>
      <c r="M84" t="s">
        <v>96</v>
      </c>
      <c r="N84" t="s">
        <v>65</v>
      </c>
      <c r="O84" t="s">
        <v>88</v>
      </c>
      <c r="P84" t="s">
        <v>65</v>
      </c>
      <c r="Q84" t="s">
        <v>57</v>
      </c>
      <c r="R84" t="s">
        <v>88</v>
      </c>
      <c r="S84" t="s">
        <v>49</v>
      </c>
      <c r="T84" t="s">
        <v>65</v>
      </c>
      <c r="U84" t="s">
        <v>57</v>
      </c>
      <c r="V84" t="s">
        <v>49</v>
      </c>
    </row>
    <row r="85" spans="1:22" x14ac:dyDescent="0.35">
      <c r="A85" t="s">
        <v>200</v>
      </c>
      <c r="B85" t="s">
        <v>61</v>
      </c>
      <c r="C85" t="s">
        <v>46</v>
      </c>
      <c r="D85" t="s">
        <v>47</v>
      </c>
      <c r="E85" t="s">
        <v>48</v>
      </c>
      <c r="F85" t="s">
        <v>49</v>
      </c>
      <c r="G85" t="s">
        <v>50</v>
      </c>
      <c r="H85" t="s">
        <v>85</v>
      </c>
      <c r="I85" t="s">
        <v>81</v>
      </c>
      <c r="J85" t="s">
        <v>76</v>
      </c>
      <c r="K85" t="s">
        <v>57</v>
      </c>
      <c r="L85" t="s">
        <v>82</v>
      </c>
      <c r="M85" t="s">
        <v>96</v>
      </c>
      <c r="N85" t="s">
        <v>78</v>
      </c>
      <c r="O85" t="s">
        <v>88</v>
      </c>
      <c r="P85" t="s">
        <v>58</v>
      </c>
      <c r="Q85" t="s">
        <v>49</v>
      </c>
      <c r="R85" t="s">
        <v>57</v>
      </c>
      <c r="S85" t="s">
        <v>49</v>
      </c>
      <c r="T85" t="s">
        <v>106</v>
      </c>
      <c r="U85" t="s">
        <v>57</v>
      </c>
      <c r="V85" t="s">
        <v>57</v>
      </c>
    </row>
    <row r="86" spans="1:22" x14ac:dyDescent="0.35">
      <c r="A86" t="s">
        <v>201</v>
      </c>
      <c r="B86" t="s">
        <v>61</v>
      </c>
      <c r="C86" t="s">
        <v>46</v>
      </c>
      <c r="D86" t="s">
        <v>62</v>
      </c>
      <c r="E86" t="s">
        <v>48</v>
      </c>
      <c r="F86" t="s">
        <v>49</v>
      </c>
      <c r="G86" t="s">
        <v>64</v>
      </c>
      <c r="H86" t="s">
        <v>95</v>
      </c>
      <c r="I86" t="s">
        <v>52</v>
      </c>
      <c r="J86" t="s">
        <v>53</v>
      </c>
      <c r="K86" t="s">
        <v>49</v>
      </c>
      <c r="L86" t="s">
        <v>54</v>
      </c>
      <c r="M86" t="s">
        <v>55</v>
      </c>
      <c r="N86" t="s">
        <v>78</v>
      </c>
      <c r="O86" t="s">
        <v>88</v>
      </c>
      <c r="P86" t="s">
        <v>65</v>
      </c>
      <c r="Q86" t="s">
        <v>57</v>
      </c>
      <c r="R86" t="s">
        <v>88</v>
      </c>
      <c r="S86" t="s">
        <v>49</v>
      </c>
      <c r="T86" t="s">
        <v>65</v>
      </c>
      <c r="U86" t="s">
        <v>49</v>
      </c>
      <c r="V86" t="s">
        <v>49</v>
      </c>
    </row>
    <row r="87" spans="1:22" x14ac:dyDescent="0.35">
      <c r="A87" t="s">
        <v>202</v>
      </c>
      <c r="B87" t="s">
        <v>45</v>
      </c>
      <c r="C87" t="s">
        <v>46</v>
      </c>
      <c r="D87" t="s">
        <v>47</v>
      </c>
      <c r="E87" t="s">
        <v>48</v>
      </c>
      <c r="F87" t="s">
        <v>49</v>
      </c>
      <c r="G87" t="s">
        <v>109</v>
      </c>
      <c r="H87" t="s">
        <v>99</v>
      </c>
      <c r="I87" t="s">
        <v>52</v>
      </c>
      <c r="J87" t="s">
        <v>53</v>
      </c>
      <c r="K87" t="s">
        <v>49</v>
      </c>
      <c r="L87" t="s">
        <v>54</v>
      </c>
      <c r="M87" t="s">
        <v>65</v>
      </c>
      <c r="N87" t="s">
        <v>97</v>
      </c>
      <c r="O87" t="s">
        <v>88</v>
      </c>
      <c r="P87" t="s">
        <v>126</v>
      </c>
      <c r="Q87" t="s">
        <v>88</v>
      </c>
      <c r="R87" t="s">
        <v>88</v>
      </c>
      <c r="S87" t="s">
        <v>49</v>
      </c>
      <c r="T87" t="s">
        <v>65</v>
      </c>
      <c r="U87" t="s">
        <v>88</v>
      </c>
      <c r="V87" t="s">
        <v>49</v>
      </c>
    </row>
    <row r="88" spans="1:22" x14ac:dyDescent="0.35">
      <c r="A88" t="s">
        <v>203</v>
      </c>
      <c r="B88" t="s">
        <v>61</v>
      </c>
      <c r="C88" t="s">
        <v>46</v>
      </c>
      <c r="D88" t="s">
        <v>62</v>
      </c>
      <c r="E88" t="s">
        <v>48</v>
      </c>
      <c r="F88" t="s">
        <v>57</v>
      </c>
      <c r="G88" t="s">
        <v>102</v>
      </c>
      <c r="H88" t="s">
        <v>51</v>
      </c>
      <c r="I88" t="s">
        <v>204</v>
      </c>
      <c r="J88" t="s">
        <v>76</v>
      </c>
      <c r="K88" t="s">
        <v>57</v>
      </c>
      <c r="L88" t="s">
        <v>53</v>
      </c>
      <c r="M88" t="s">
        <v>96</v>
      </c>
      <c r="N88" t="s">
        <v>56</v>
      </c>
      <c r="O88" t="s">
        <v>57</v>
      </c>
      <c r="P88" t="s">
        <v>66</v>
      </c>
      <c r="Q88" t="s">
        <v>57</v>
      </c>
      <c r="R88" t="s">
        <v>57</v>
      </c>
      <c r="S88" t="s">
        <v>49</v>
      </c>
      <c r="T88" t="s">
        <v>83</v>
      </c>
      <c r="U88" t="s">
        <v>57</v>
      </c>
      <c r="V88" t="s">
        <v>57</v>
      </c>
    </row>
    <row r="89" spans="1:22" x14ac:dyDescent="0.35">
      <c r="A89" t="s">
        <v>205</v>
      </c>
      <c r="B89" t="s">
        <v>61</v>
      </c>
      <c r="C89" t="s">
        <v>46</v>
      </c>
      <c r="D89" t="s">
        <v>47</v>
      </c>
      <c r="E89" t="s">
        <v>63</v>
      </c>
      <c r="F89" t="s">
        <v>57</v>
      </c>
      <c r="G89" t="s">
        <v>68</v>
      </c>
      <c r="H89" t="s">
        <v>95</v>
      </c>
      <c r="I89" t="s">
        <v>52</v>
      </c>
      <c r="J89" t="s">
        <v>76</v>
      </c>
      <c r="K89" t="s">
        <v>57</v>
      </c>
      <c r="L89" t="s">
        <v>82</v>
      </c>
      <c r="M89" t="s">
        <v>65</v>
      </c>
      <c r="N89" t="s">
        <v>65</v>
      </c>
      <c r="O89" t="s">
        <v>57</v>
      </c>
      <c r="P89" t="s">
        <v>105</v>
      </c>
      <c r="Q89" t="s">
        <v>49</v>
      </c>
      <c r="R89" t="s">
        <v>49</v>
      </c>
      <c r="S89" t="s">
        <v>57</v>
      </c>
      <c r="T89" t="s">
        <v>65</v>
      </c>
      <c r="U89" t="s">
        <v>57</v>
      </c>
      <c r="V89" t="s">
        <v>57</v>
      </c>
    </row>
    <row r="90" spans="1:22" x14ac:dyDescent="0.35">
      <c r="A90" t="s">
        <v>206</v>
      </c>
      <c r="B90" t="s">
        <v>45</v>
      </c>
      <c r="C90" t="s">
        <v>46</v>
      </c>
      <c r="D90" t="s">
        <v>47</v>
      </c>
      <c r="E90" t="s">
        <v>74</v>
      </c>
      <c r="F90" t="s">
        <v>49</v>
      </c>
      <c r="G90" t="s">
        <v>64</v>
      </c>
      <c r="H90" t="s">
        <v>75</v>
      </c>
      <c r="I90" t="s">
        <v>52</v>
      </c>
      <c r="J90" t="s">
        <v>87</v>
      </c>
      <c r="K90" t="s">
        <v>49</v>
      </c>
      <c r="L90" t="s">
        <v>54</v>
      </c>
      <c r="M90" t="s">
        <v>110</v>
      </c>
      <c r="N90" t="s">
        <v>111</v>
      </c>
      <c r="O90" t="s">
        <v>88</v>
      </c>
      <c r="P90" t="s">
        <v>65</v>
      </c>
      <c r="Q90" t="s">
        <v>49</v>
      </c>
      <c r="R90" t="s">
        <v>49</v>
      </c>
      <c r="S90" t="s">
        <v>49</v>
      </c>
      <c r="T90" t="s">
        <v>65</v>
      </c>
      <c r="U90" t="s">
        <v>57</v>
      </c>
      <c r="V90" t="s">
        <v>49</v>
      </c>
    </row>
    <row r="91" spans="1:22" x14ac:dyDescent="0.35">
      <c r="A91" t="s">
        <v>207</v>
      </c>
      <c r="B91" t="s">
        <v>61</v>
      </c>
      <c r="C91" t="s">
        <v>46</v>
      </c>
      <c r="D91" t="s">
        <v>47</v>
      </c>
      <c r="E91" t="s">
        <v>74</v>
      </c>
      <c r="F91" t="s">
        <v>57</v>
      </c>
      <c r="G91" t="s">
        <v>64</v>
      </c>
      <c r="H91" t="s">
        <v>51</v>
      </c>
      <c r="I91" t="s">
        <v>136</v>
      </c>
      <c r="J91" t="s">
        <v>53</v>
      </c>
      <c r="K91" t="s">
        <v>57</v>
      </c>
      <c r="L91" t="s">
        <v>53</v>
      </c>
      <c r="M91" t="s">
        <v>65</v>
      </c>
      <c r="N91" t="s">
        <v>78</v>
      </c>
      <c r="O91" t="s">
        <v>88</v>
      </c>
      <c r="P91" t="s">
        <v>105</v>
      </c>
      <c r="Q91" t="s">
        <v>57</v>
      </c>
      <c r="R91" t="s">
        <v>49</v>
      </c>
      <c r="S91" t="s">
        <v>49</v>
      </c>
      <c r="T91" t="s">
        <v>106</v>
      </c>
      <c r="U91" t="s">
        <v>57</v>
      </c>
      <c r="V91" t="s">
        <v>49</v>
      </c>
    </row>
    <row r="92" spans="1:22" x14ac:dyDescent="0.35">
      <c r="A92" t="s">
        <v>208</v>
      </c>
      <c r="B92" t="s">
        <v>209</v>
      </c>
      <c r="C92" t="s">
        <v>46</v>
      </c>
      <c r="D92" t="s">
        <v>47</v>
      </c>
      <c r="E92" t="s">
        <v>120</v>
      </c>
      <c r="F92" t="s">
        <v>49</v>
      </c>
      <c r="G92" t="s">
        <v>68</v>
      </c>
      <c r="H92" t="s">
        <v>95</v>
      </c>
      <c r="I92" t="s">
        <v>52</v>
      </c>
      <c r="J92" t="s">
        <v>76</v>
      </c>
      <c r="K92" t="s">
        <v>49</v>
      </c>
      <c r="L92" t="s">
        <v>54</v>
      </c>
      <c r="M92" t="s">
        <v>65</v>
      </c>
      <c r="N92" t="s">
        <v>56</v>
      </c>
      <c r="O92" t="s">
        <v>88</v>
      </c>
      <c r="P92" t="s">
        <v>65</v>
      </c>
      <c r="Q92" t="s">
        <v>57</v>
      </c>
      <c r="R92" t="s">
        <v>57</v>
      </c>
      <c r="S92" t="s">
        <v>49</v>
      </c>
      <c r="T92" t="s">
        <v>65</v>
      </c>
      <c r="U92" t="s">
        <v>57</v>
      </c>
      <c r="V92" t="s">
        <v>49</v>
      </c>
    </row>
    <row r="93" spans="1:22" x14ac:dyDescent="0.35">
      <c r="A93" t="s">
        <v>210</v>
      </c>
      <c r="B93" t="s">
        <v>209</v>
      </c>
      <c r="C93" t="s">
        <v>46</v>
      </c>
      <c r="D93" t="s">
        <v>47</v>
      </c>
      <c r="E93" t="s">
        <v>120</v>
      </c>
      <c r="F93" t="s">
        <v>49</v>
      </c>
      <c r="G93" t="s">
        <v>68</v>
      </c>
      <c r="H93" t="s">
        <v>95</v>
      </c>
      <c r="I93" t="s">
        <v>52</v>
      </c>
      <c r="J93" t="s">
        <v>76</v>
      </c>
      <c r="K93" t="s">
        <v>49</v>
      </c>
      <c r="L93" t="s">
        <v>54</v>
      </c>
      <c r="M93" t="s">
        <v>65</v>
      </c>
      <c r="N93" t="s">
        <v>56</v>
      </c>
      <c r="O93" t="s">
        <v>88</v>
      </c>
      <c r="P93" t="s">
        <v>65</v>
      </c>
      <c r="Q93" t="s">
        <v>57</v>
      </c>
      <c r="R93" t="s">
        <v>57</v>
      </c>
      <c r="S93" t="s">
        <v>49</v>
      </c>
      <c r="T93" t="s">
        <v>65</v>
      </c>
      <c r="U93" t="s">
        <v>57</v>
      </c>
      <c r="V93" t="s">
        <v>49</v>
      </c>
    </row>
    <row r="94" spans="1:22" x14ac:dyDescent="0.35">
      <c r="A94" t="s">
        <v>211</v>
      </c>
      <c r="B94" t="s">
        <v>61</v>
      </c>
      <c r="C94" t="s">
        <v>46</v>
      </c>
      <c r="D94" t="s">
        <v>94</v>
      </c>
      <c r="E94" t="s">
        <v>120</v>
      </c>
      <c r="F94" t="s">
        <v>49</v>
      </c>
      <c r="G94" t="s">
        <v>64</v>
      </c>
      <c r="H94" t="s">
        <v>51</v>
      </c>
      <c r="I94" t="s">
        <v>81</v>
      </c>
      <c r="J94" t="s">
        <v>100</v>
      </c>
      <c r="K94" t="s">
        <v>49</v>
      </c>
      <c r="L94" t="s">
        <v>54</v>
      </c>
      <c r="M94" t="s">
        <v>71</v>
      </c>
      <c r="N94" t="s">
        <v>188</v>
      </c>
      <c r="O94" t="s">
        <v>57</v>
      </c>
      <c r="P94" t="s">
        <v>58</v>
      </c>
      <c r="Q94" t="s">
        <v>57</v>
      </c>
      <c r="R94" t="s">
        <v>146</v>
      </c>
      <c r="S94" t="s">
        <v>49</v>
      </c>
      <c r="T94" t="s">
        <v>106</v>
      </c>
      <c r="U94" t="s">
        <v>57</v>
      </c>
      <c r="V94" t="s">
        <v>49</v>
      </c>
    </row>
    <row r="95" spans="1:22" x14ac:dyDescent="0.35">
      <c r="A95" t="s">
        <v>212</v>
      </c>
      <c r="B95" t="s">
        <v>184</v>
      </c>
      <c r="C95" t="s">
        <v>46</v>
      </c>
      <c r="D95" t="s">
        <v>47</v>
      </c>
      <c r="E95" t="s">
        <v>120</v>
      </c>
      <c r="F95" t="s">
        <v>49</v>
      </c>
      <c r="G95" t="s">
        <v>64</v>
      </c>
      <c r="H95" t="s">
        <v>51</v>
      </c>
      <c r="I95" t="s">
        <v>81</v>
      </c>
      <c r="J95" t="s">
        <v>76</v>
      </c>
      <c r="K95" t="s">
        <v>57</v>
      </c>
      <c r="L95" t="s">
        <v>70</v>
      </c>
      <c r="M95" t="s">
        <v>55</v>
      </c>
      <c r="N95" t="s">
        <v>78</v>
      </c>
      <c r="O95" t="s">
        <v>57</v>
      </c>
      <c r="P95" t="s">
        <v>65</v>
      </c>
      <c r="Q95" t="s">
        <v>57</v>
      </c>
      <c r="R95" t="s">
        <v>88</v>
      </c>
      <c r="S95" t="s">
        <v>49</v>
      </c>
      <c r="T95" t="s">
        <v>65</v>
      </c>
      <c r="U95" t="s">
        <v>57</v>
      </c>
      <c r="V95" t="s">
        <v>49</v>
      </c>
    </row>
    <row r="96" spans="1:22" x14ac:dyDescent="0.35">
      <c r="A96" t="s">
        <v>213</v>
      </c>
      <c r="B96" t="s">
        <v>61</v>
      </c>
      <c r="C96" t="s">
        <v>46</v>
      </c>
      <c r="D96" t="s">
        <v>47</v>
      </c>
      <c r="E96" t="s">
        <v>120</v>
      </c>
      <c r="F96" t="s">
        <v>49</v>
      </c>
      <c r="G96" t="s">
        <v>109</v>
      </c>
      <c r="H96" t="s">
        <v>51</v>
      </c>
      <c r="I96" t="s">
        <v>123</v>
      </c>
      <c r="J96" t="s">
        <v>53</v>
      </c>
      <c r="K96" t="s">
        <v>49</v>
      </c>
      <c r="L96" t="s">
        <v>54</v>
      </c>
      <c r="M96" t="s">
        <v>96</v>
      </c>
      <c r="N96" t="s">
        <v>78</v>
      </c>
      <c r="O96" t="s">
        <v>88</v>
      </c>
      <c r="P96" t="s">
        <v>65</v>
      </c>
      <c r="Q96" t="s">
        <v>57</v>
      </c>
      <c r="R96" t="s">
        <v>88</v>
      </c>
      <c r="S96" t="s">
        <v>49</v>
      </c>
      <c r="T96" t="s">
        <v>65</v>
      </c>
      <c r="U96" t="s">
        <v>146</v>
      </c>
      <c r="V96" t="s">
        <v>49</v>
      </c>
    </row>
    <row r="97" spans="1:22" x14ac:dyDescent="0.35">
      <c r="A97" t="s">
        <v>214</v>
      </c>
      <c r="B97" t="s">
        <v>45</v>
      </c>
      <c r="C97" t="s">
        <v>46</v>
      </c>
      <c r="D97" t="s">
        <v>94</v>
      </c>
      <c r="E97" t="s">
        <v>120</v>
      </c>
      <c r="F97" t="s">
        <v>49</v>
      </c>
      <c r="G97" t="s">
        <v>64</v>
      </c>
      <c r="H97" t="s">
        <v>75</v>
      </c>
      <c r="I97" t="s">
        <v>81</v>
      </c>
      <c r="J97" t="s">
        <v>53</v>
      </c>
      <c r="K97" t="s">
        <v>49</v>
      </c>
      <c r="L97" t="s">
        <v>54</v>
      </c>
      <c r="M97" t="s">
        <v>96</v>
      </c>
      <c r="N97" t="s">
        <v>65</v>
      </c>
      <c r="O97" t="s">
        <v>88</v>
      </c>
      <c r="P97" t="s">
        <v>105</v>
      </c>
      <c r="Q97" t="s">
        <v>57</v>
      </c>
      <c r="R97" t="s">
        <v>88</v>
      </c>
      <c r="S97" t="s">
        <v>49</v>
      </c>
      <c r="T97" t="s">
        <v>106</v>
      </c>
      <c r="U97" t="s">
        <v>57</v>
      </c>
      <c r="V97" t="s">
        <v>49</v>
      </c>
    </row>
    <row r="98" spans="1:22" x14ac:dyDescent="0.35">
      <c r="A98" t="s">
        <v>215</v>
      </c>
      <c r="B98" t="s">
        <v>61</v>
      </c>
      <c r="C98" t="s">
        <v>46</v>
      </c>
      <c r="D98" t="s">
        <v>94</v>
      </c>
      <c r="E98" t="s">
        <v>120</v>
      </c>
      <c r="F98" t="s">
        <v>57</v>
      </c>
      <c r="G98" t="s">
        <v>68</v>
      </c>
      <c r="H98" t="s">
        <v>51</v>
      </c>
      <c r="I98" t="s">
        <v>86</v>
      </c>
      <c r="J98" t="s">
        <v>53</v>
      </c>
      <c r="K98" t="s">
        <v>49</v>
      </c>
      <c r="L98" t="s">
        <v>54</v>
      </c>
      <c r="M98" t="s">
        <v>96</v>
      </c>
      <c r="N98" t="s">
        <v>97</v>
      </c>
      <c r="O98" t="s">
        <v>57</v>
      </c>
      <c r="P98" t="s">
        <v>65</v>
      </c>
      <c r="Q98" t="s">
        <v>57</v>
      </c>
      <c r="R98" t="s">
        <v>49</v>
      </c>
      <c r="S98" t="s">
        <v>49</v>
      </c>
      <c r="T98" t="s">
        <v>83</v>
      </c>
      <c r="U98" t="s">
        <v>57</v>
      </c>
      <c r="V98" t="s">
        <v>49</v>
      </c>
    </row>
    <row r="99" spans="1:22" x14ac:dyDescent="0.35">
      <c r="A99" t="s">
        <v>216</v>
      </c>
      <c r="B99" t="s">
        <v>61</v>
      </c>
      <c r="C99" t="s">
        <v>46</v>
      </c>
      <c r="D99" t="s">
        <v>47</v>
      </c>
      <c r="E99" t="s">
        <v>120</v>
      </c>
      <c r="F99" t="s">
        <v>49</v>
      </c>
      <c r="G99" t="s">
        <v>64</v>
      </c>
      <c r="H99" t="s">
        <v>75</v>
      </c>
      <c r="I99" t="s">
        <v>86</v>
      </c>
      <c r="J99" t="s">
        <v>100</v>
      </c>
      <c r="K99" t="s">
        <v>49</v>
      </c>
      <c r="L99" t="s">
        <v>54</v>
      </c>
      <c r="M99" t="s">
        <v>96</v>
      </c>
      <c r="N99" t="s">
        <v>65</v>
      </c>
      <c r="O99" t="s">
        <v>57</v>
      </c>
      <c r="P99" t="s">
        <v>65</v>
      </c>
      <c r="Q99" t="s">
        <v>88</v>
      </c>
      <c r="R99" t="s">
        <v>49</v>
      </c>
      <c r="S99" t="s">
        <v>49</v>
      </c>
      <c r="T99" t="s">
        <v>65</v>
      </c>
      <c r="U99" t="s">
        <v>57</v>
      </c>
      <c r="V99" t="s">
        <v>49</v>
      </c>
    </row>
    <row r="100" spans="1:22" x14ac:dyDescent="0.35">
      <c r="A100" t="s">
        <v>217</v>
      </c>
      <c r="B100" t="s">
        <v>61</v>
      </c>
      <c r="C100" t="s">
        <v>46</v>
      </c>
      <c r="D100" t="s">
        <v>104</v>
      </c>
      <c r="E100" t="s">
        <v>120</v>
      </c>
      <c r="F100" t="s">
        <v>49</v>
      </c>
      <c r="G100" t="s">
        <v>68</v>
      </c>
      <c r="H100" t="s">
        <v>95</v>
      </c>
      <c r="I100" t="s">
        <v>81</v>
      </c>
      <c r="J100" t="s">
        <v>53</v>
      </c>
      <c r="K100" t="s">
        <v>49</v>
      </c>
      <c r="L100" t="s">
        <v>54</v>
      </c>
      <c r="M100" t="s">
        <v>96</v>
      </c>
      <c r="N100" t="s">
        <v>78</v>
      </c>
      <c r="O100" t="s">
        <v>57</v>
      </c>
      <c r="P100" t="s">
        <v>66</v>
      </c>
      <c r="Q100" t="s">
        <v>57</v>
      </c>
      <c r="R100" t="s">
        <v>57</v>
      </c>
      <c r="S100" t="s">
        <v>49</v>
      </c>
      <c r="T100" t="s">
        <v>83</v>
      </c>
      <c r="U100" t="s">
        <v>57</v>
      </c>
      <c r="V100" t="s">
        <v>57</v>
      </c>
    </row>
    <row r="101" spans="1:22" x14ac:dyDescent="0.35">
      <c r="A101" t="s">
        <v>218</v>
      </c>
      <c r="B101" t="s">
        <v>61</v>
      </c>
      <c r="C101" t="s">
        <v>46</v>
      </c>
      <c r="D101" t="s">
        <v>62</v>
      </c>
      <c r="E101" t="s">
        <v>120</v>
      </c>
      <c r="F101" t="s">
        <v>49</v>
      </c>
      <c r="G101" t="s">
        <v>109</v>
      </c>
      <c r="H101" t="s">
        <v>95</v>
      </c>
      <c r="I101" t="s">
        <v>52</v>
      </c>
      <c r="J101" t="s">
        <v>53</v>
      </c>
      <c r="K101" t="s">
        <v>49</v>
      </c>
      <c r="L101" t="s">
        <v>77</v>
      </c>
      <c r="M101" t="s">
        <v>96</v>
      </c>
      <c r="N101" t="s">
        <v>78</v>
      </c>
      <c r="O101" t="s">
        <v>57</v>
      </c>
      <c r="P101" t="s">
        <v>58</v>
      </c>
      <c r="Q101" t="s">
        <v>57</v>
      </c>
      <c r="R101" t="s">
        <v>57</v>
      </c>
      <c r="S101" t="s">
        <v>49</v>
      </c>
      <c r="T101" t="s">
        <v>59</v>
      </c>
      <c r="U101" t="s">
        <v>57</v>
      </c>
      <c r="V101" t="s">
        <v>57</v>
      </c>
    </row>
    <row r="102" spans="1:22" x14ac:dyDescent="0.35">
      <c r="A102" t="s">
        <v>219</v>
      </c>
      <c r="B102" t="s">
        <v>61</v>
      </c>
      <c r="C102" t="s">
        <v>46</v>
      </c>
      <c r="D102" t="s">
        <v>62</v>
      </c>
      <c r="E102" t="s">
        <v>63</v>
      </c>
      <c r="F102" t="s">
        <v>49</v>
      </c>
      <c r="G102" t="s">
        <v>109</v>
      </c>
      <c r="H102" t="s">
        <v>92</v>
      </c>
      <c r="I102" t="s">
        <v>69</v>
      </c>
      <c r="J102" t="s">
        <v>77</v>
      </c>
      <c r="K102" t="s">
        <v>57</v>
      </c>
      <c r="L102" t="s">
        <v>70</v>
      </c>
      <c r="M102" t="s">
        <v>55</v>
      </c>
      <c r="N102" t="s">
        <v>111</v>
      </c>
      <c r="O102" t="s">
        <v>49</v>
      </c>
      <c r="P102" t="s">
        <v>105</v>
      </c>
      <c r="Q102" t="s">
        <v>49</v>
      </c>
      <c r="R102" t="s">
        <v>49</v>
      </c>
      <c r="S102" t="s">
        <v>49</v>
      </c>
      <c r="T102" t="s">
        <v>106</v>
      </c>
      <c r="U102" t="s">
        <v>88</v>
      </c>
      <c r="V102" t="s">
        <v>57</v>
      </c>
    </row>
    <row r="103" spans="1:22" x14ac:dyDescent="0.35">
      <c r="A103" t="s">
        <v>220</v>
      </c>
      <c r="B103" t="s">
        <v>61</v>
      </c>
      <c r="C103" t="s">
        <v>46</v>
      </c>
      <c r="D103" t="s">
        <v>47</v>
      </c>
      <c r="E103" t="s">
        <v>80</v>
      </c>
      <c r="F103" t="s">
        <v>49</v>
      </c>
      <c r="G103" t="s">
        <v>68</v>
      </c>
      <c r="H103" t="s">
        <v>95</v>
      </c>
      <c r="I103" t="s">
        <v>52</v>
      </c>
      <c r="J103" t="s">
        <v>76</v>
      </c>
      <c r="K103" t="s">
        <v>57</v>
      </c>
      <c r="L103" t="s">
        <v>193</v>
      </c>
      <c r="M103" t="s">
        <v>221</v>
      </c>
      <c r="N103" t="s">
        <v>78</v>
      </c>
      <c r="O103" t="s">
        <v>57</v>
      </c>
      <c r="P103" t="s">
        <v>65</v>
      </c>
      <c r="Q103" t="s">
        <v>57</v>
      </c>
      <c r="R103" t="s">
        <v>49</v>
      </c>
      <c r="S103" t="s">
        <v>49</v>
      </c>
      <c r="T103" t="s">
        <v>65</v>
      </c>
      <c r="U103" t="s">
        <v>57</v>
      </c>
      <c r="V103" t="s">
        <v>57</v>
      </c>
    </row>
    <row r="104" spans="1:22" x14ac:dyDescent="0.35">
      <c r="A104" t="s">
        <v>222</v>
      </c>
      <c r="B104" t="s">
        <v>61</v>
      </c>
      <c r="C104" t="s">
        <v>46</v>
      </c>
      <c r="D104" t="s">
        <v>62</v>
      </c>
      <c r="E104" t="s">
        <v>80</v>
      </c>
      <c r="F104" t="s">
        <v>49</v>
      </c>
      <c r="G104" t="s">
        <v>64</v>
      </c>
      <c r="H104" t="s">
        <v>75</v>
      </c>
      <c r="I104" t="s">
        <v>123</v>
      </c>
      <c r="J104" t="s">
        <v>53</v>
      </c>
      <c r="K104" t="s">
        <v>49</v>
      </c>
      <c r="L104" t="s">
        <v>54</v>
      </c>
      <c r="M104" t="s">
        <v>65</v>
      </c>
      <c r="N104" t="s">
        <v>72</v>
      </c>
      <c r="O104" t="s">
        <v>57</v>
      </c>
      <c r="P104" t="s">
        <v>66</v>
      </c>
      <c r="Q104" t="s">
        <v>57</v>
      </c>
      <c r="R104" t="s">
        <v>88</v>
      </c>
      <c r="S104" t="s">
        <v>49</v>
      </c>
      <c r="T104" t="s">
        <v>65</v>
      </c>
      <c r="U104" t="s">
        <v>57</v>
      </c>
      <c r="V104" t="s">
        <v>49</v>
      </c>
    </row>
    <row r="105" spans="1:22" x14ac:dyDescent="0.35">
      <c r="A105" t="s">
        <v>223</v>
      </c>
      <c r="B105" t="s">
        <v>61</v>
      </c>
      <c r="C105" t="s">
        <v>46</v>
      </c>
      <c r="D105" t="s">
        <v>104</v>
      </c>
      <c r="E105" t="s">
        <v>80</v>
      </c>
      <c r="F105" t="s">
        <v>49</v>
      </c>
      <c r="G105" t="s">
        <v>68</v>
      </c>
      <c r="H105" t="s">
        <v>51</v>
      </c>
      <c r="I105" t="s">
        <v>81</v>
      </c>
      <c r="J105" t="s">
        <v>87</v>
      </c>
      <c r="K105" t="s">
        <v>57</v>
      </c>
      <c r="L105" t="s">
        <v>87</v>
      </c>
      <c r="M105" t="s">
        <v>55</v>
      </c>
      <c r="N105" t="s">
        <v>78</v>
      </c>
      <c r="O105" t="s">
        <v>57</v>
      </c>
      <c r="P105" t="s">
        <v>65</v>
      </c>
      <c r="Q105" t="s">
        <v>57</v>
      </c>
      <c r="R105" t="s">
        <v>49</v>
      </c>
      <c r="S105" t="s">
        <v>49</v>
      </c>
      <c r="T105" t="s">
        <v>83</v>
      </c>
      <c r="U105" t="s">
        <v>49</v>
      </c>
      <c r="V105" t="s">
        <v>57</v>
      </c>
    </row>
    <row r="106" spans="1:22" x14ac:dyDescent="0.35">
      <c r="A106" t="s">
        <v>224</v>
      </c>
      <c r="B106" t="s">
        <v>45</v>
      </c>
      <c r="C106" t="s">
        <v>46</v>
      </c>
      <c r="D106" t="s">
        <v>62</v>
      </c>
      <c r="E106" t="s">
        <v>80</v>
      </c>
      <c r="F106" t="s">
        <v>57</v>
      </c>
      <c r="G106" t="s">
        <v>68</v>
      </c>
      <c r="H106" t="s">
        <v>85</v>
      </c>
      <c r="I106" t="s">
        <v>86</v>
      </c>
      <c r="J106" t="s">
        <v>87</v>
      </c>
      <c r="K106" t="s">
        <v>57</v>
      </c>
      <c r="L106" t="s">
        <v>225</v>
      </c>
      <c r="M106" t="s">
        <v>55</v>
      </c>
      <c r="N106" t="s">
        <v>78</v>
      </c>
      <c r="O106" t="s">
        <v>57</v>
      </c>
      <c r="P106" t="s">
        <v>226</v>
      </c>
      <c r="Q106" t="s">
        <v>57</v>
      </c>
      <c r="R106" t="s">
        <v>88</v>
      </c>
      <c r="S106" t="s">
        <v>49</v>
      </c>
      <c r="T106" t="s">
        <v>83</v>
      </c>
      <c r="U106" t="s">
        <v>57</v>
      </c>
      <c r="V106" t="s">
        <v>49</v>
      </c>
    </row>
    <row r="107" spans="1:22" x14ac:dyDescent="0.35">
      <c r="A107" t="s">
        <v>227</v>
      </c>
      <c r="B107" t="s">
        <v>61</v>
      </c>
      <c r="C107" t="s">
        <v>46</v>
      </c>
      <c r="D107" t="s">
        <v>62</v>
      </c>
      <c r="E107" t="s">
        <v>120</v>
      </c>
      <c r="F107" t="s">
        <v>49</v>
      </c>
      <c r="G107" t="s">
        <v>64</v>
      </c>
      <c r="H107" t="s">
        <v>51</v>
      </c>
      <c r="I107" t="s">
        <v>159</v>
      </c>
      <c r="J107" t="s">
        <v>53</v>
      </c>
      <c r="K107" t="s">
        <v>49</v>
      </c>
      <c r="L107" t="s">
        <v>54</v>
      </c>
      <c r="M107" t="s">
        <v>110</v>
      </c>
      <c r="N107" t="s">
        <v>111</v>
      </c>
      <c r="O107" t="s">
        <v>57</v>
      </c>
      <c r="P107" t="s">
        <v>66</v>
      </c>
      <c r="Q107" t="s">
        <v>57</v>
      </c>
      <c r="R107" t="s">
        <v>49</v>
      </c>
      <c r="S107" t="s">
        <v>49</v>
      </c>
      <c r="T107" t="s">
        <v>59</v>
      </c>
      <c r="U107" t="s">
        <v>57</v>
      </c>
      <c r="V107" t="s">
        <v>49</v>
      </c>
    </row>
    <row r="108" spans="1:22" x14ac:dyDescent="0.35">
      <c r="A108" t="s">
        <v>228</v>
      </c>
      <c r="B108" t="s">
        <v>61</v>
      </c>
      <c r="C108" t="s">
        <v>46</v>
      </c>
      <c r="D108" t="s">
        <v>62</v>
      </c>
      <c r="E108" t="s">
        <v>80</v>
      </c>
      <c r="F108" t="s">
        <v>49</v>
      </c>
      <c r="G108" t="s">
        <v>68</v>
      </c>
      <c r="H108" t="s">
        <v>75</v>
      </c>
      <c r="I108" t="s">
        <v>52</v>
      </c>
      <c r="J108" t="s">
        <v>77</v>
      </c>
      <c r="K108" t="s">
        <v>49</v>
      </c>
      <c r="L108" t="s">
        <v>54</v>
      </c>
      <c r="M108" t="s">
        <v>65</v>
      </c>
      <c r="N108" t="s">
        <v>72</v>
      </c>
      <c r="O108" t="s">
        <v>88</v>
      </c>
      <c r="P108" t="s">
        <v>105</v>
      </c>
      <c r="Q108" t="s">
        <v>88</v>
      </c>
      <c r="R108" t="s">
        <v>88</v>
      </c>
      <c r="S108" t="s">
        <v>49</v>
      </c>
      <c r="T108" t="s">
        <v>65</v>
      </c>
      <c r="U108" t="s">
        <v>88</v>
      </c>
      <c r="V108" t="s">
        <v>49</v>
      </c>
    </row>
    <row r="109" spans="1:22" x14ac:dyDescent="0.35">
      <c r="A109" t="s">
        <v>229</v>
      </c>
      <c r="B109" t="s">
        <v>45</v>
      </c>
      <c r="C109" t="s">
        <v>46</v>
      </c>
      <c r="D109" t="s">
        <v>62</v>
      </c>
      <c r="E109" t="s">
        <v>120</v>
      </c>
      <c r="F109" t="s">
        <v>57</v>
      </c>
      <c r="G109" t="s">
        <v>230</v>
      </c>
      <c r="H109" t="s">
        <v>51</v>
      </c>
      <c r="I109" t="s">
        <v>86</v>
      </c>
      <c r="J109" t="s">
        <v>53</v>
      </c>
      <c r="K109" t="s">
        <v>49</v>
      </c>
      <c r="L109" t="s">
        <v>54</v>
      </c>
      <c r="M109" t="s">
        <v>65</v>
      </c>
      <c r="N109" t="s">
        <v>72</v>
      </c>
      <c r="O109" t="s">
        <v>57</v>
      </c>
      <c r="P109" t="s">
        <v>66</v>
      </c>
      <c r="Q109" t="s">
        <v>57</v>
      </c>
      <c r="R109" t="s">
        <v>88</v>
      </c>
      <c r="S109" t="s">
        <v>49</v>
      </c>
      <c r="T109" t="s">
        <v>65</v>
      </c>
      <c r="U109" t="s">
        <v>57</v>
      </c>
      <c r="V109" t="s">
        <v>49</v>
      </c>
    </row>
    <row r="110" spans="1:22" x14ac:dyDescent="0.35">
      <c r="A110" t="s">
        <v>231</v>
      </c>
      <c r="B110" t="s">
        <v>61</v>
      </c>
      <c r="C110" t="s">
        <v>46</v>
      </c>
      <c r="D110" t="s">
        <v>47</v>
      </c>
      <c r="E110" t="s">
        <v>80</v>
      </c>
      <c r="F110" t="s">
        <v>57</v>
      </c>
      <c r="G110" t="s">
        <v>64</v>
      </c>
      <c r="H110" t="s">
        <v>95</v>
      </c>
      <c r="I110" t="s">
        <v>52</v>
      </c>
      <c r="J110" t="s">
        <v>53</v>
      </c>
      <c r="K110" t="s">
        <v>57</v>
      </c>
      <c r="L110" t="s">
        <v>77</v>
      </c>
      <c r="M110" t="s">
        <v>65</v>
      </c>
      <c r="N110" t="s">
        <v>78</v>
      </c>
      <c r="O110" t="s">
        <v>57</v>
      </c>
      <c r="P110" t="s">
        <v>66</v>
      </c>
      <c r="Q110" t="s">
        <v>57</v>
      </c>
      <c r="R110" t="s">
        <v>57</v>
      </c>
      <c r="S110" t="s">
        <v>49</v>
      </c>
      <c r="T110" t="s">
        <v>65</v>
      </c>
      <c r="U110" t="s">
        <v>57</v>
      </c>
      <c r="V110" t="s">
        <v>57</v>
      </c>
    </row>
    <row r="111" spans="1:22" x14ac:dyDescent="0.35">
      <c r="A111" t="s">
        <v>232</v>
      </c>
      <c r="B111" t="s">
        <v>45</v>
      </c>
      <c r="C111" t="s">
        <v>46</v>
      </c>
      <c r="D111" t="s">
        <v>47</v>
      </c>
      <c r="E111" t="s">
        <v>80</v>
      </c>
      <c r="F111" t="s">
        <v>49</v>
      </c>
      <c r="G111" t="s">
        <v>64</v>
      </c>
      <c r="H111" t="s">
        <v>51</v>
      </c>
      <c r="I111" t="s">
        <v>86</v>
      </c>
      <c r="J111" t="s">
        <v>53</v>
      </c>
      <c r="K111" t="s">
        <v>49</v>
      </c>
      <c r="L111" t="s">
        <v>54</v>
      </c>
      <c r="M111" t="s">
        <v>96</v>
      </c>
      <c r="N111" t="s">
        <v>65</v>
      </c>
      <c r="O111" t="s">
        <v>57</v>
      </c>
      <c r="P111" t="s">
        <v>66</v>
      </c>
      <c r="Q111" t="s">
        <v>57</v>
      </c>
      <c r="R111" t="s">
        <v>49</v>
      </c>
      <c r="S111" t="s">
        <v>49</v>
      </c>
      <c r="T111" t="s">
        <v>65</v>
      </c>
      <c r="U111" t="s">
        <v>88</v>
      </c>
      <c r="V111" t="s">
        <v>49</v>
      </c>
    </row>
    <row r="112" spans="1:22" x14ac:dyDescent="0.35">
      <c r="A112" t="s">
        <v>233</v>
      </c>
      <c r="B112" t="s">
        <v>61</v>
      </c>
      <c r="C112" t="s">
        <v>46</v>
      </c>
      <c r="D112" t="s">
        <v>94</v>
      </c>
      <c r="E112" t="s">
        <v>80</v>
      </c>
      <c r="F112" t="s">
        <v>57</v>
      </c>
      <c r="G112" t="s">
        <v>68</v>
      </c>
      <c r="H112" t="s">
        <v>51</v>
      </c>
      <c r="I112" t="s">
        <v>86</v>
      </c>
      <c r="J112" t="s">
        <v>53</v>
      </c>
      <c r="K112" t="s">
        <v>49</v>
      </c>
      <c r="L112" t="s">
        <v>54</v>
      </c>
      <c r="M112" t="s">
        <v>65</v>
      </c>
      <c r="N112" t="s">
        <v>65</v>
      </c>
      <c r="O112" t="s">
        <v>57</v>
      </c>
      <c r="P112" t="s">
        <v>66</v>
      </c>
      <c r="Q112" t="s">
        <v>57</v>
      </c>
      <c r="R112" t="s">
        <v>49</v>
      </c>
      <c r="S112" t="s">
        <v>49</v>
      </c>
      <c r="T112" t="s">
        <v>65</v>
      </c>
      <c r="U112" t="s">
        <v>57</v>
      </c>
      <c r="V112" t="s">
        <v>49</v>
      </c>
    </row>
    <row r="113" spans="1:22" x14ac:dyDescent="0.35">
      <c r="A113" t="s">
        <v>234</v>
      </c>
      <c r="B113" t="s">
        <v>61</v>
      </c>
      <c r="C113" t="s">
        <v>46</v>
      </c>
      <c r="D113" t="s">
        <v>47</v>
      </c>
      <c r="E113" t="s">
        <v>80</v>
      </c>
      <c r="F113" t="s">
        <v>49</v>
      </c>
      <c r="G113" t="s">
        <v>109</v>
      </c>
      <c r="H113" t="s">
        <v>51</v>
      </c>
      <c r="I113" t="s">
        <v>69</v>
      </c>
      <c r="J113" t="s">
        <v>53</v>
      </c>
      <c r="K113" t="s">
        <v>57</v>
      </c>
      <c r="L113" t="s">
        <v>54</v>
      </c>
      <c r="M113" t="s">
        <v>96</v>
      </c>
      <c r="N113" t="s">
        <v>78</v>
      </c>
      <c r="O113" t="s">
        <v>57</v>
      </c>
      <c r="P113" t="s">
        <v>58</v>
      </c>
      <c r="Q113" t="s">
        <v>57</v>
      </c>
      <c r="R113" t="s">
        <v>57</v>
      </c>
      <c r="S113" t="s">
        <v>49</v>
      </c>
      <c r="T113" t="s">
        <v>65</v>
      </c>
      <c r="U113" t="s">
        <v>57</v>
      </c>
      <c r="V113" t="s">
        <v>49</v>
      </c>
    </row>
    <row r="114" spans="1:22" x14ac:dyDescent="0.35">
      <c r="A114" t="s">
        <v>235</v>
      </c>
      <c r="B114" t="s">
        <v>61</v>
      </c>
      <c r="C114" t="s">
        <v>46</v>
      </c>
      <c r="D114" t="s">
        <v>94</v>
      </c>
      <c r="E114" t="s">
        <v>236</v>
      </c>
      <c r="F114" t="s">
        <v>57</v>
      </c>
      <c r="G114" t="s">
        <v>68</v>
      </c>
      <c r="H114" t="s">
        <v>95</v>
      </c>
      <c r="I114" t="s">
        <v>136</v>
      </c>
      <c r="J114" t="s">
        <v>53</v>
      </c>
      <c r="K114" t="s">
        <v>152</v>
      </c>
      <c r="L114" t="s">
        <v>54</v>
      </c>
      <c r="M114" t="s">
        <v>65</v>
      </c>
      <c r="N114" t="s">
        <v>65</v>
      </c>
      <c r="O114" t="s">
        <v>57</v>
      </c>
      <c r="P114" t="s">
        <v>65</v>
      </c>
      <c r="Q114" t="s">
        <v>49</v>
      </c>
      <c r="R114" t="s">
        <v>49</v>
      </c>
      <c r="S114" t="s">
        <v>49</v>
      </c>
      <c r="T114" t="s">
        <v>65</v>
      </c>
      <c r="U114" t="s">
        <v>57</v>
      </c>
      <c r="V114" t="s">
        <v>57</v>
      </c>
    </row>
    <row r="115" spans="1:22" x14ac:dyDescent="0.35">
      <c r="A115" t="s">
        <v>237</v>
      </c>
      <c r="B115" t="s">
        <v>61</v>
      </c>
      <c r="C115" t="s">
        <v>46</v>
      </c>
      <c r="D115" t="s">
        <v>104</v>
      </c>
      <c r="E115" t="s">
        <v>63</v>
      </c>
      <c r="F115" t="s">
        <v>49</v>
      </c>
      <c r="G115" t="s">
        <v>64</v>
      </c>
      <c r="H115" t="s">
        <v>95</v>
      </c>
      <c r="I115" t="s">
        <v>52</v>
      </c>
      <c r="J115" t="s">
        <v>77</v>
      </c>
      <c r="K115" t="s">
        <v>49</v>
      </c>
      <c r="L115" t="s">
        <v>77</v>
      </c>
      <c r="M115" t="s">
        <v>96</v>
      </c>
      <c r="N115" t="s">
        <v>72</v>
      </c>
      <c r="O115" t="s">
        <v>57</v>
      </c>
      <c r="P115" t="s">
        <v>65</v>
      </c>
      <c r="Q115" t="s">
        <v>57</v>
      </c>
      <c r="R115" t="s">
        <v>49</v>
      </c>
      <c r="S115" t="s">
        <v>49</v>
      </c>
      <c r="T115" t="s">
        <v>83</v>
      </c>
      <c r="U115" t="s">
        <v>57</v>
      </c>
      <c r="V115" t="s">
        <v>49</v>
      </c>
    </row>
    <row r="116" spans="1:22" x14ac:dyDescent="0.35">
      <c r="A116" t="s">
        <v>238</v>
      </c>
      <c r="B116" t="s">
        <v>45</v>
      </c>
      <c r="C116" t="s">
        <v>46</v>
      </c>
      <c r="D116" t="s">
        <v>94</v>
      </c>
      <c r="E116" t="s">
        <v>48</v>
      </c>
      <c r="F116" t="s">
        <v>49</v>
      </c>
      <c r="G116" t="s">
        <v>64</v>
      </c>
      <c r="H116" t="s">
        <v>99</v>
      </c>
      <c r="I116" t="s">
        <v>52</v>
      </c>
      <c r="J116" t="s">
        <v>100</v>
      </c>
      <c r="K116" t="s">
        <v>49</v>
      </c>
      <c r="L116" t="s">
        <v>53</v>
      </c>
      <c r="M116" t="s">
        <v>71</v>
      </c>
      <c r="N116" t="s">
        <v>72</v>
      </c>
      <c r="O116" t="s">
        <v>57</v>
      </c>
      <c r="P116" t="s">
        <v>65</v>
      </c>
      <c r="Q116" t="s">
        <v>57</v>
      </c>
      <c r="R116" t="s">
        <v>49</v>
      </c>
      <c r="S116" t="s">
        <v>49</v>
      </c>
      <c r="T116" t="s">
        <v>65</v>
      </c>
      <c r="U116" t="s">
        <v>57</v>
      </c>
      <c r="V116" t="s">
        <v>49</v>
      </c>
    </row>
    <row r="117" spans="1:22" x14ac:dyDescent="0.35">
      <c r="A117" t="s">
        <v>239</v>
      </c>
      <c r="B117" t="s">
        <v>240</v>
      </c>
      <c r="C117" t="s">
        <v>61</v>
      </c>
      <c r="D117" t="s">
        <v>62</v>
      </c>
      <c r="E117" t="s">
        <v>80</v>
      </c>
      <c r="F117" t="s">
        <v>57</v>
      </c>
      <c r="G117" t="s">
        <v>50</v>
      </c>
      <c r="H117" t="s">
        <v>85</v>
      </c>
      <c r="I117" t="s">
        <v>86</v>
      </c>
      <c r="J117" t="s">
        <v>77</v>
      </c>
      <c r="K117" t="s">
        <v>57</v>
      </c>
      <c r="L117" t="s">
        <v>77</v>
      </c>
      <c r="M117" t="s">
        <v>55</v>
      </c>
      <c r="N117" t="s">
        <v>56</v>
      </c>
      <c r="O117" t="s">
        <v>57</v>
      </c>
      <c r="P117" t="s">
        <v>58</v>
      </c>
      <c r="Q117" t="s">
        <v>57</v>
      </c>
      <c r="R117" t="s">
        <v>57</v>
      </c>
      <c r="S117" t="s">
        <v>57</v>
      </c>
      <c r="T117" t="s">
        <v>83</v>
      </c>
      <c r="U117" t="s">
        <v>57</v>
      </c>
      <c r="V117" t="s">
        <v>57</v>
      </c>
    </row>
    <row r="118" spans="1:22" x14ac:dyDescent="0.35">
      <c r="A118" t="s">
        <v>241</v>
      </c>
      <c r="B118" t="s">
        <v>240</v>
      </c>
      <c r="C118" t="s">
        <v>45</v>
      </c>
      <c r="D118" t="s">
        <v>47</v>
      </c>
      <c r="E118" t="s">
        <v>74</v>
      </c>
      <c r="F118" t="s">
        <v>57</v>
      </c>
      <c r="G118" t="s">
        <v>68</v>
      </c>
      <c r="H118" t="s">
        <v>85</v>
      </c>
      <c r="I118" t="s">
        <v>242</v>
      </c>
      <c r="J118" t="s">
        <v>53</v>
      </c>
      <c r="K118" t="s">
        <v>57</v>
      </c>
      <c r="L118" t="s">
        <v>82</v>
      </c>
      <c r="M118" t="s">
        <v>55</v>
      </c>
      <c r="N118" t="s">
        <v>78</v>
      </c>
      <c r="O118" t="s">
        <v>57</v>
      </c>
      <c r="P118" t="s">
        <v>66</v>
      </c>
      <c r="Q118" t="s">
        <v>57</v>
      </c>
      <c r="R118" t="s">
        <v>57</v>
      </c>
      <c r="S118" t="s">
        <v>49</v>
      </c>
      <c r="T118" t="s">
        <v>59</v>
      </c>
      <c r="U118" t="s">
        <v>88</v>
      </c>
      <c r="V118" t="s">
        <v>49</v>
      </c>
    </row>
    <row r="119" spans="1:22" x14ac:dyDescent="0.35">
      <c r="A119" t="s">
        <v>243</v>
      </c>
      <c r="B119" t="s">
        <v>240</v>
      </c>
      <c r="C119" t="s">
        <v>45</v>
      </c>
      <c r="D119" t="s">
        <v>47</v>
      </c>
      <c r="E119" t="s">
        <v>80</v>
      </c>
      <c r="F119" t="s">
        <v>49</v>
      </c>
      <c r="G119" t="s">
        <v>64</v>
      </c>
      <c r="H119" t="s">
        <v>75</v>
      </c>
      <c r="I119" t="s">
        <v>136</v>
      </c>
      <c r="J119" t="s">
        <v>53</v>
      </c>
      <c r="K119" t="s">
        <v>57</v>
      </c>
      <c r="L119" t="s">
        <v>53</v>
      </c>
      <c r="M119" t="s">
        <v>96</v>
      </c>
      <c r="N119" t="s">
        <v>78</v>
      </c>
      <c r="O119" t="s">
        <v>49</v>
      </c>
      <c r="P119" t="s">
        <v>105</v>
      </c>
      <c r="Q119" t="s">
        <v>49</v>
      </c>
      <c r="R119" t="s">
        <v>49</v>
      </c>
      <c r="S119" t="s">
        <v>49</v>
      </c>
      <c r="T119" t="s">
        <v>59</v>
      </c>
      <c r="U119" t="s">
        <v>49</v>
      </c>
      <c r="V119" t="s">
        <v>49</v>
      </c>
    </row>
    <row r="120" spans="1:22" x14ac:dyDescent="0.35">
      <c r="A120" t="s">
        <v>244</v>
      </c>
      <c r="B120" t="s">
        <v>240</v>
      </c>
      <c r="C120" t="s">
        <v>61</v>
      </c>
      <c r="D120" t="s">
        <v>62</v>
      </c>
      <c r="E120" t="s">
        <v>74</v>
      </c>
      <c r="F120" t="s">
        <v>49</v>
      </c>
      <c r="G120" t="s">
        <v>50</v>
      </c>
      <c r="H120" t="s">
        <v>95</v>
      </c>
      <c r="I120" t="s">
        <v>81</v>
      </c>
      <c r="J120" t="s">
        <v>53</v>
      </c>
      <c r="K120" t="s">
        <v>49</v>
      </c>
      <c r="L120" t="s">
        <v>54</v>
      </c>
      <c r="M120" t="s">
        <v>96</v>
      </c>
      <c r="N120" t="s">
        <v>78</v>
      </c>
      <c r="O120" t="s">
        <v>57</v>
      </c>
      <c r="P120" t="s">
        <v>66</v>
      </c>
      <c r="Q120" t="s">
        <v>88</v>
      </c>
      <c r="R120" t="s">
        <v>49</v>
      </c>
      <c r="S120" t="s">
        <v>49</v>
      </c>
      <c r="T120" t="s">
        <v>59</v>
      </c>
      <c r="U120" t="s">
        <v>57</v>
      </c>
      <c r="V120" t="s">
        <v>49</v>
      </c>
    </row>
    <row r="121" spans="1:22" x14ac:dyDescent="0.35">
      <c r="A121" t="s">
        <v>245</v>
      </c>
      <c r="B121" t="s">
        <v>240</v>
      </c>
      <c r="C121" t="s">
        <v>45</v>
      </c>
      <c r="D121" t="s">
        <v>62</v>
      </c>
      <c r="E121" t="s">
        <v>74</v>
      </c>
      <c r="F121" t="s">
        <v>57</v>
      </c>
      <c r="G121" t="s">
        <v>68</v>
      </c>
      <c r="H121" t="s">
        <v>51</v>
      </c>
      <c r="I121" t="s">
        <v>81</v>
      </c>
      <c r="J121" t="s">
        <v>53</v>
      </c>
      <c r="K121" t="s">
        <v>49</v>
      </c>
      <c r="L121" t="s">
        <v>54</v>
      </c>
      <c r="M121" t="s">
        <v>55</v>
      </c>
      <c r="N121" t="s">
        <v>65</v>
      </c>
      <c r="O121" t="s">
        <v>88</v>
      </c>
      <c r="P121" t="s">
        <v>65</v>
      </c>
      <c r="Q121" t="s">
        <v>88</v>
      </c>
      <c r="R121" t="s">
        <v>88</v>
      </c>
      <c r="S121" t="s">
        <v>49</v>
      </c>
      <c r="T121" t="s">
        <v>65</v>
      </c>
      <c r="U121" t="s">
        <v>57</v>
      </c>
      <c r="V121" t="s">
        <v>49</v>
      </c>
    </row>
    <row r="122" spans="1:22" x14ac:dyDescent="0.35">
      <c r="A122" t="s">
        <v>246</v>
      </c>
      <c r="B122" t="s">
        <v>240</v>
      </c>
      <c r="C122" t="s">
        <v>45</v>
      </c>
      <c r="D122" t="s">
        <v>47</v>
      </c>
      <c r="E122" t="s">
        <v>74</v>
      </c>
      <c r="F122" t="s">
        <v>49</v>
      </c>
      <c r="G122" t="s">
        <v>68</v>
      </c>
      <c r="H122" t="s">
        <v>95</v>
      </c>
      <c r="I122" t="s">
        <v>52</v>
      </c>
      <c r="J122" t="s">
        <v>53</v>
      </c>
      <c r="K122" t="s">
        <v>49</v>
      </c>
      <c r="L122" t="s">
        <v>54</v>
      </c>
      <c r="M122" t="s">
        <v>65</v>
      </c>
      <c r="N122" t="s">
        <v>65</v>
      </c>
      <c r="O122" t="s">
        <v>88</v>
      </c>
      <c r="P122" t="s">
        <v>65</v>
      </c>
      <c r="Q122" t="s">
        <v>88</v>
      </c>
      <c r="R122" t="s">
        <v>88</v>
      </c>
      <c r="S122" t="s">
        <v>49</v>
      </c>
      <c r="T122" t="s">
        <v>65</v>
      </c>
      <c r="U122" t="s">
        <v>88</v>
      </c>
      <c r="V122" t="s">
        <v>49</v>
      </c>
    </row>
    <row r="123" spans="1:22" x14ac:dyDescent="0.35">
      <c r="A123" t="s">
        <v>247</v>
      </c>
      <c r="B123" t="s">
        <v>240</v>
      </c>
      <c r="C123" t="s">
        <v>45</v>
      </c>
      <c r="D123" t="s">
        <v>94</v>
      </c>
      <c r="E123" t="s">
        <v>80</v>
      </c>
      <c r="F123" t="s">
        <v>49</v>
      </c>
      <c r="G123" t="s">
        <v>64</v>
      </c>
      <c r="H123" t="s">
        <v>75</v>
      </c>
      <c r="I123" t="s">
        <v>52</v>
      </c>
      <c r="J123" t="s">
        <v>53</v>
      </c>
      <c r="K123" t="s">
        <v>49</v>
      </c>
      <c r="L123" t="s">
        <v>54</v>
      </c>
      <c r="M123" t="s">
        <v>65</v>
      </c>
      <c r="N123" t="s">
        <v>65</v>
      </c>
      <c r="O123" t="s">
        <v>49</v>
      </c>
      <c r="P123" t="s">
        <v>105</v>
      </c>
      <c r="Q123" t="s">
        <v>88</v>
      </c>
      <c r="R123" t="s">
        <v>88</v>
      </c>
      <c r="S123" t="s">
        <v>49</v>
      </c>
      <c r="T123" t="s">
        <v>65</v>
      </c>
      <c r="U123" t="s">
        <v>57</v>
      </c>
      <c r="V123" t="s">
        <v>49</v>
      </c>
    </row>
    <row r="124" spans="1:22" x14ac:dyDescent="0.35">
      <c r="A124" t="s">
        <v>248</v>
      </c>
      <c r="B124" t="s">
        <v>240</v>
      </c>
      <c r="C124" t="s">
        <v>249</v>
      </c>
      <c r="D124" t="s">
        <v>47</v>
      </c>
      <c r="E124" t="s">
        <v>74</v>
      </c>
      <c r="F124" t="s">
        <v>49</v>
      </c>
      <c r="G124" t="s">
        <v>64</v>
      </c>
      <c r="H124" t="s">
        <v>92</v>
      </c>
      <c r="I124" t="s">
        <v>52</v>
      </c>
      <c r="J124" t="s">
        <v>53</v>
      </c>
      <c r="K124" t="s">
        <v>49</v>
      </c>
      <c r="L124" t="s">
        <v>54</v>
      </c>
      <c r="M124" t="s">
        <v>71</v>
      </c>
      <c r="N124" t="s">
        <v>72</v>
      </c>
      <c r="O124" t="s">
        <v>195</v>
      </c>
      <c r="P124" t="s">
        <v>66</v>
      </c>
      <c r="Q124" t="s">
        <v>57</v>
      </c>
      <c r="R124" t="s">
        <v>49</v>
      </c>
      <c r="S124" t="s">
        <v>49</v>
      </c>
      <c r="T124" t="s">
        <v>83</v>
      </c>
      <c r="U124" t="s">
        <v>57</v>
      </c>
      <c r="V124" t="s">
        <v>49</v>
      </c>
    </row>
    <row r="125" spans="1:22" x14ac:dyDescent="0.35">
      <c r="A125" t="s">
        <v>250</v>
      </c>
      <c r="B125" t="s">
        <v>240</v>
      </c>
      <c r="C125" t="s">
        <v>45</v>
      </c>
      <c r="D125" t="s">
        <v>62</v>
      </c>
      <c r="E125" t="s">
        <v>74</v>
      </c>
      <c r="F125" t="s">
        <v>57</v>
      </c>
      <c r="G125" t="s">
        <v>102</v>
      </c>
      <c r="H125" t="s">
        <v>85</v>
      </c>
      <c r="I125" t="s">
        <v>52</v>
      </c>
      <c r="J125" t="s">
        <v>53</v>
      </c>
      <c r="K125" t="s">
        <v>57</v>
      </c>
      <c r="L125" t="s">
        <v>251</v>
      </c>
      <c r="M125" t="s">
        <v>55</v>
      </c>
      <c r="N125" t="s">
        <v>111</v>
      </c>
      <c r="O125" t="s">
        <v>57</v>
      </c>
      <c r="P125" t="s">
        <v>58</v>
      </c>
      <c r="Q125" t="s">
        <v>57</v>
      </c>
      <c r="R125" t="s">
        <v>88</v>
      </c>
      <c r="S125" t="s">
        <v>49</v>
      </c>
      <c r="T125" t="s">
        <v>83</v>
      </c>
      <c r="U125" t="s">
        <v>57</v>
      </c>
      <c r="V125" t="s">
        <v>49</v>
      </c>
    </row>
    <row r="126" spans="1:22" x14ac:dyDescent="0.35">
      <c r="A126" t="s">
        <v>252</v>
      </c>
      <c r="B126" t="s">
        <v>240</v>
      </c>
      <c r="C126" t="s">
        <v>45</v>
      </c>
      <c r="D126" t="s">
        <v>47</v>
      </c>
      <c r="E126" t="s">
        <v>80</v>
      </c>
      <c r="F126" t="s">
        <v>57</v>
      </c>
      <c r="G126" t="s">
        <v>230</v>
      </c>
      <c r="H126" t="s">
        <v>95</v>
      </c>
      <c r="I126" t="s">
        <v>81</v>
      </c>
      <c r="J126" t="s">
        <v>53</v>
      </c>
      <c r="K126" t="s">
        <v>49</v>
      </c>
      <c r="L126" t="s">
        <v>53</v>
      </c>
      <c r="M126" t="s">
        <v>253</v>
      </c>
      <c r="N126" t="s">
        <v>65</v>
      </c>
      <c r="O126" t="s">
        <v>57</v>
      </c>
      <c r="P126" t="s">
        <v>65</v>
      </c>
      <c r="Q126" t="s">
        <v>57</v>
      </c>
      <c r="R126" t="s">
        <v>49</v>
      </c>
      <c r="S126" t="s">
        <v>49</v>
      </c>
      <c r="T126" t="s">
        <v>65</v>
      </c>
      <c r="U126" t="s">
        <v>57</v>
      </c>
      <c r="V126" t="s">
        <v>49</v>
      </c>
    </row>
    <row r="127" spans="1:22" x14ac:dyDescent="0.35">
      <c r="A127" t="s">
        <v>254</v>
      </c>
      <c r="B127" t="s">
        <v>240</v>
      </c>
      <c r="C127" t="s">
        <v>61</v>
      </c>
      <c r="D127" t="s">
        <v>104</v>
      </c>
      <c r="E127" t="s">
        <v>74</v>
      </c>
      <c r="F127" t="s">
        <v>57</v>
      </c>
      <c r="G127" t="s">
        <v>102</v>
      </c>
      <c r="H127" t="s">
        <v>51</v>
      </c>
      <c r="I127" t="s">
        <v>69</v>
      </c>
      <c r="J127" t="s">
        <v>53</v>
      </c>
      <c r="K127" t="s">
        <v>49</v>
      </c>
      <c r="L127" t="s">
        <v>54</v>
      </c>
      <c r="M127" t="s">
        <v>55</v>
      </c>
      <c r="N127" t="s">
        <v>56</v>
      </c>
      <c r="O127" t="s">
        <v>57</v>
      </c>
      <c r="P127" t="s">
        <v>58</v>
      </c>
      <c r="Q127" t="s">
        <v>57</v>
      </c>
      <c r="R127" t="s">
        <v>57</v>
      </c>
      <c r="S127" t="s">
        <v>49</v>
      </c>
      <c r="T127" t="s">
        <v>83</v>
      </c>
      <c r="U127" t="s">
        <v>57</v>
      </c>
      <c r="V127" t="s">
        <v>49</v>
      </c>
    </row>
    <row r="128" spans="1:22" x14ac:dyDescent="0.35">
      <c r="A128" t="s">
        <v>255</v>
      </c>
      <c r="B128" t="s">
        <v>240</v>
      </c>
      <c r="C128" t="s">
        <v>45</v>
      </c>
      <c r="D128" t="s">
        <v>47</v>
      </c>
      <c r="E128" t="s">
        <v>74</v>
      </c>
      <c r="F128" t="s">
        <v>57</v>
      </c>
      <c r="G128" t="s">
        <v>68</v>
      </c>
      <c r="H128" t="s">
        <v>85</v>
      </c>
      <c r="I128" t="s">
        <v>52</v>
      </c>
      <c r="J128" t="s">
        <v>53</v>
      </c>
      <c r="K128" t="s">
        <v>57</v>
      </c>
      <c r="L128" t="s">
        <v>53</v>
      </c>
      <c r="M128" t="s">
        <v>55</v>
      </c>
      <c r="N128" t="s">
        <v>56</v>
      </c>
      <c r="O128" t="s">
        <v>57</v>
      </c>
      <c r="P128" t="s">
        <v>58</v>
      </c>
      <c r="Q128" t="s">
        <v>57</v>
      </c>
      <c r="R128" t="s">
        <v>57</v>
      </c>
      <c r="S128" t="s">
        <v>49</v>
      </c>
      <c r="T128" t="s">
        <v>59</v>
      </c>
      <c r="U128" t="s">
        <v>57</v>
      </c>
      <c r="V128" t="s">
        <v>49</v>
      </c>
    </row>
    <row r="129" spans="1:22" x14ac:dyDescent="0.35">
      <c r="A129" t="s">
        <v>256</v>
      </c>
      <c r="B129" t="s">
        <v>240</v>
      </c>
      <c r="C129" t="s">
        <v>45</v>
      </c>
      <c r="D129" t="s">
        <v>257</v>
      </c>
      <c r="E129" t="s">
        <v>74</v>
      </c>
      <c r="F129" t="s">
        <v>57</v>
      </c>
      <c r="G129" t="s">
        <v>50</v>
      </c>
      <c r="H129" t="s">
        <v>99</v>
      </c>
      <c r="I129" t="s">
        <v>52</v>
      </c>
      <c r="J129" t="s">
        <v>53</v>
      </c>
      <c r="K129" t="s">
        <v>49</v>
      </c>
      <c r="L129" t="s">
        <v>53</v>
      </c>
      <c r="M129" t="s">
        <v>55</v>
      </c>
      <c r="N129" t="s">
        <v>56</v>
      </c>
      <c r="O129" t="s">
        <v>57</v>
      </c>
      <c r="P129" t="s">
        <v>58</v>
      </c>
      <c r="Q129" t="s">
        <v>57</v>
      </c>
      <c r="R129" t="s">
        <v>195</v>
      </c>
      <c r="S129" t="s">
        <v>57</v>
      </c>
      <c r="T129" t="s">
        <v>59</v>
      </c>
      <c r="U129" t="s">
        <v>57</v>
      </c>
      <c r="V129" t="s">
        <v>49</v>
      </c>
    </row>
    <row r="130" spans="1:22" x14ac:dyDescent="0.35">
      <c r="A130" t="s">
        <v>258</v>
      </c>
      <c r="B130" t="s">
        <v>240</v>
      </c>
      <c r="C130" t="s">
        <v>45</v>
      </c>
      <c r="D130" t="s">
        <v>104</v>
      </c>
      <c r="E130" t="s">
        <v>80</v>
      </c>
      <c r="F130" t="s">
        <v>49</v>
      </c>
      <c r="G130" t="s">
        <v>102</v>
      </c>
      <c r="H130" t="s">
        <v>51</v>
      </c>
      <c r="I130" t="s">
        <v>69</v>
      </c>
      <c r="J130" t="s">
        <v>53</v>
      </c>
      <c r="K130" t="s">
        <v>49</v>
      </c>
      <c r="L130" t="s">
        <v>54</v>
      </c>
      <c r="M130" t="s">
        <v>55</v>
      </c>
      <c r="N130" t="s">
        <v>56</v>
      </c>
      <c r="O130" t="s">
        <v>57</v>
      </c>
      <c r="P130" t="s">
        <v>58</v>
      </c>
      <c r="Q130" t="s">
        <v>57</v>
      </c>
      <c r="R130" t="s">
        <v>57</v>
      </c>
      <c r="S130" t="s">
        <v>49</v>
      </c>
      <c r="T130" t="s">
        <v>59</v>
      </c>
      <c r="U130" t="s">
        <v>57</v>
      </c>
      <c r="V130" t="s">
        <v>49</v>
      </c>
    </row>
    <row r="131" spans="1:22" x14ac:dyDescent="0.35">
      <c r="A131" t="s">
        <v>259</v>
      </c>
      <c r="B131" t="s">
        <v>240</v>
      </c>
      <c r="C131" t="s">
        <v>45</v>
      </c>
      <c r="D131" t="s">
        <v>47</v>
      </c>
      <c r="E131" t="s">
        <v>74</v>
      </c>
      <c r="F131" t="s">
        <v>57</v>
      </c>
      <c r="G131" t="s">
        <v>68</v>
      </c>
      <c r="H131" t="s">
        <v>92</v>
      </c>
      <c r="I131" t="s">
        <v>260</v>
      </c>
      <c r="J131" t="s">
        <v>53</v>
      </c>
      <c r="K131" t="s">
        <v>49</v>
      </c>
      <c r="L131" t="s">
        <v>54</v>
      </c>
      <c r="M131" t="s">
        <v>96</v>
      </c>
      <c r="N131" t="s">
        <v>78</v>
      </c>
      <c r="O131" t="s">
        <v>57</v>
      </c>
      <c r="P131" t="s">
        <v>65</v>
      </c>
      <c r="Q131" t="s">
        <v>57</v>
      </c>
      <c r="R131" t="s">
        <v>49</v>
      </c>
      <c r="S131" t="s">
        <v>49</v>
      </c>
      <c r="T131" t="s">
        <v>65</v>
      </c>
      <c r="U131" t="s">
        <v>57</v>
      </c>
      <c r="V131" t="s">
        <v>49</v>
      </c>
    </row>
    <row r="132" spans="1:22" x14ac:dyDescent="0.35">
      <c r="A132" t="s">
        <v>261</v>
      </c>
      <c r="B132" t="s">
        <v>240</v>
      </c>
      <c r="C132" t="s">
        <v>45</v>
      </c>
      <c r="D132" t="s">
        <v>47</v>
      </c>
      <c r="E132" t="s">
        <v>74</v>
      </c>
      <c r="F132" t="s">
        <v>49</v>
      </c>
      <c r="G132" t="s">
        <v>109</v>
      </c>
      <c r="H132" t="s">
        <v>51</v>
      </c>
      <c r="I132" t="s">
        <v>69</v>
      </c>
      <c r="J132" t="s">
        <v>53</v>
      </c>
      <c r="K132" t="s">
        <v>49</v>
      </c>
      <c r="L132" t="s">
        <v>54</v>
      </c>
      <c r="M132" t="s">
        <v>96</v>
      </c>
      <c r="N132" t="s">
        <v>56</v>
      </c>
      <c r="O132" t="s">
        <v>57</v>
      </c>
      <c r="P132" t="s">
        <v>58</v>
      </c>
      <c r="Q132" t="s">
        <v>57</v>
      </c>
      <c r="R132" t="s">
        <v>49</v>
      </c>
      <c r="S132" t="s">
        <v>49</v>
      </c>
      <c r="T132" t="s">
        <v>83</v>
      </c>
      <c r="U132" t="s">
        <v>49</v>
      </c>
      <c r="V132" t="s">
        <v>57</v>
      </c>
    </row>
    <row r="133" spans="1:22" x14ac:dyDescent="0.35">
      <c r="A133" t="s">
        <v>262</v>
      </c>
      <c r="B133" t="s">
        <v>240</v>
      </c>
      <c r="C133" t="s">
        <v>61</v>
      </c>
      <c r="D133" t="s">
        <v>62</v>
      </c>
      <c r="E133" t="s">
        <v>80</v>
      </c>
      <c r="F133" t="s">
        <v>49</v>
      </c>
      <c r="G133" t="s">
        <v>68</v>
      </c>
      <c r="H133" t="s">
        <v>92</v>
      </c>
      <c r="I133" t="s">
        <v>69</v>
      </c>
      <c r="J133" t="s">
        <v>53</v>
      </c>
      <c r="K133" t="s">
        <v>49</v>
      </c>
      <c r="L133" t="s">
        <v>54</v>
      </c>
      <c r="M133" t="s">
        <v>96</v>
      </c>
      <c r="N133" t="s">
        <v>56</v>
      </c>
      <c r="O133" t="s">
        <v>49</v>
      </c>
      <c r="P133" t="s">
        <v>65</v>
      </c>
      <c r="Q133" t="s">
        <v>49</v>
      </c>
      <c r="R133" t="s">
        <v>88</v>
      </c>
      <c r="S133" t="s">
        <v>49</v>
      </c>
      <c r="T133" t="s">
        <v>83</v>
      </c>
      <c r="U133" t="s">
        <v>49</v>
      </c>
      <c r="V133" t="s">
        <v>49</v>
      </c>
    </row>
    <row r="134" spans="1:22" x14ac:dyDescent="0.35">
      <c r="A134" t="s">
        <v>263</v>
      </c>
      <c r="B134" t="s">
        <v>240</v>
      </c>
      <c r="C134" t="s">
        <v>61</v>
      </c>
      <c r="D134" t="s">
        <v>62</v>
      </c>
      <c r="E134" t="s">
        <v>80</v>
      </c>
      <c r="F134" t="s">
        <v>49</v>
      </c>
      <c r="G134" t="s">
        <v>68</v>
      </c>
      <c r="H134" t="s">
        <v>92</v>
      </c>
      <c r="I134" t="s">
        <v>52</v>
      </c>
      <c r="J134" t="s">
        <v>53</v>
      </c>
      <c r="K134" t="s">
        <v>49</v>
      </c>
      <c r="L134" t="s">
        <v>53</v>
      </c>
      <c r="M134" t="s">
        <v>65</v>
      </c>
      <c r="N134" t="s">
        <v>78</v>
      </c>
      <c r="O134" t="s">
        <v>88</v>
      </c>
      <c r="P134" t="s">
        <v>66</v>
      </c>
      <c r="Q134" t="s">
        <v>49</v>
      </c>
      <c r="R134" t="s">
        <v>88</v>
      </c>
      <c r="S134" t="s">
        <v>49</v>
      </c>
      <c r="T134" t="s">
        <v>83</v>
      </c>
      <c r="U134" t="s">
        <v>49</v>
      </c>
      <c r="V134" t="s">
        <v>49</v>
      </c>
    </row>
    <row r="135" spans="1:22" x14ac:dyDescent="0.35">
      <c r="A135" t="s">
        <v>264</v>
      </c>
      <c r="B135" t="s">
        <v>240</v>
      </c>
      <c r="C135" t="s">
        <v>61</v>
      </c>
      <c r="D135" t="s">
        <v>62</v>
      </c>
      <c r="E135" t="s">
        <v>80</v>
      </c>
      <c r="F135" t="s">
        <v>49</v>
      </c>
      <c r="G135" t="s">
        <v>68</v>
      </c>
      <c r="H135" t="s">
        <v>92</v>
      </c>
      <c r="I135" t="s">
        <v>52</v>
      </c>
      <c r="J135" t="s">
        <v>53</v>
      </c>
      <c r="K135" t="s">
        <v>49</v>
      </c>
      <c r="L135" t="s">
        <v>53</v>
      </c>
      <c r="M135" t="s">
        <v>96</v>
      </c>
      <c r="N135" t="s">
        <v>78</v>
      </c>
      <c r="O135" t="s">
        <v>88</v>
      </c>
      <c r="P135" t="s">
        <v>66</v>
      </c>
      <c r="Q135" t="s">
        <v>49</v>
      </c>
      <c r="R135" t="s">
        <v>49</v>
      </c>
      <c r="S135" t="s">
        <v>49</v>
      </c>
      <c r="T135" t="s">
        <v>83</v>
      </c>
      <c r="U135" t="s">
        <v>49</v>
      </c>
      <c r="V135" t="s">
        <v>49</v>
      </c>
    </row>
    <row r="136" spans="1:22" x14ac:dyDescent="0.35">
      <c r="A136" t="s">
        <v>265</v>
      </c>
      <c r="B136" t="s">
        <v>240</v>
      </c>
      <c r="C136" t="s">
        <v>61</v>
      </c>
      <c r="D136" t="s">
        <v>62</v>
      </c>
      <c r="E136" t="s">
        <v>80</v>
      </c>
      <c r="F136" t="s">
        <v>57</v>
      </c>
      <c r="G136" t="s">
        <v>50</v>
      </c>
      <c r="H136" t="s">
        <v>51</v>
      </c>
      <c r="I136" t="s">
        <v>52</v>
      </c>
      <c r="J136" t="s">
        <v>100</v>
      </c>
      <c r="K136" t="s">
        <v>57</v>
      </c>
      <c r="L136" t="s">
        <v>82</v>
      </c>
      <c r="M136" t="s">
        <v>55</v>
      </c>
      <c r="N136" t="s">
        <v>56</v>
      </c>
      <c r="O136" t="s">
        <v>57</v>
      </c>
      <c r="P136" t="s">
        <v>58</v>
      </c>
      <c r="Q136" t="s">
        <v>57</v>
      </c>
      <c r="R136" t="s">
        <v>57</v>
      </c>
      <c r="S136" t="s">
        <v>57</v>
      </c>
      <c r="T136" t="s">
        <v>59</v>
      </c>
      <c r="U136" t="s">
        <v>57</v>
      </c>
      <c r="V136" t="s">
        <v>57</v>
      </c>
    </row>
    <row r="137" spans="1:22" x14ac:dyDescent="0.35">
      <c r="A137" t="s">
        <v>266</v>
      </c>
      <c r="B137" t="s">
        <v>240</v>
      </c>
      <c r="C137" t="s">
        <v>45</v>
      </c>
      <c r="D137" t="s">
        <v>47</v>
      </c>
      <c r="E137" t="s">
        <v>80</v>
      </c>
      <c r="F137" t="s">
        <v>57</v>
      </c>
      <c r="G137" t="s">
        <v>50</v>
      </c>
      <c r="H137" t="s">
        <v>85</v>
      </c>
      <c r="I137" t="s">
        <v>81</v>
      </c>
      <c r="J137" t="s">
        <v>77</v>
      </c>
      <c r="K137" t="s">
        <v>49</v>
      </c>
      <c r="L137" t="s">
        <v>54</v>
      </c>
      <c r="M137" t="s">
        <v>65</v>
      </c>
      <c r="N137" t="s">
        <v>78</v>
      </c>
      <c r="O137" t="s">
        <v>57</v>
      </c>
      <c r="P137" t="s">
        <v>66</v>
      </c>
      <c r="Q137" t="s">
        <v>57</v>
      </c>
      <c r="R137" t="s">
        <v>88</v>
      </c>
      <c r="S137" t="s">
        <v>49</v>
      </c>
      <c r="T137" t="s">
        <v>65</v>
      </c>
      <c r="U137" t="s">
        <v>88</v>
      </c>
      <c r="V137" t="s">
        <v>49</v>
      </c>
    </row>
    <row r="138" spans="1:22" x14ac:dyDescent="0.35">
      <c r="A138" t="s">
        <v>267</v>
      </c>
      <c r="B138" t="s">
        <v>240</v>
      </c>
      <c r="C138" t="s">
        <v>45</v>
      </c>
      <c r="D138" t="s">
        <v>47</v>
      </c>
      <c r="E138" t="s">
        <v>80</v>
      </c>
      <c r="F138" t="s">
        <v>57</v>
      </c>
      <c r="G138" t="s">
        <v>68</v>
      </c>
      <c r="H138" t="s">
        <v>85</v>
      </c>
      <c r="I138" t="s">
        <v>86</v>
      </c>
      <c r="J138" t="s">
        <v>77</v>
      </c>
      <c r="K138" t="s">
        <v>49</v>
      </c>
      <c r="L138" t="s">
        <v>54</v>
      </c>
      <c r="M138" t="s">
        <v>65</v>
      </c>
      <c r="N138" t="s">
        <v>78</v>
      </c>
      <c r="O138" t="s">
        <v>49</v>
      </c>
      <c r="P138" t="s">
        <v>126</v>
      </c>
      <c r="Q138" t="s">
        <v>88</v>
      </c>
      <c r="R138" t="s">
        <v>49</v>
      </c>
      <c r="S138" t="s">
        <v>49</v>
      </c>
      <c r="T138" t="s">
        <v>65</v>
      </c>
      <c r="U138" t="s">
        <v>57</v>
      </c>
      <c r="V138" t="s">
        <v>49</v>
      </c>
    </row>
    <row r="139" spans="1:22" x14ac:dyDescent="0.35">
      <c r="A139" t="s">
        <v>268</v>
      </c>
      <c r="B139" t="s">
        <v>240</v>
      </c>
      <c r="C139" t="s">
        <v>45</v>
      </c>
      <c r="D139" t="s">
        <v>47</v>
      </c>
      <c r="E139" t="s">
        <v>74</v>
      </c>
      <c r="F139" t="s">
        <v>57</v>
      </c>
      <c r="G139" t="s">
        <v>68</v>
      </c>
      <c r="H139" t="s">
        <v>51</v>
      </c>
      <c r="I139" t="s">
        <v>69</v>
      </c>
      <c r="J139" t="s">
        <v>53</v>
      </c>
      <c r="K139" t="s">
        <v>49</v>
      </c>
      <c r="L139" t="s">
        <v>54</v>
      </c>
      <c r="M139" t="s">
        <v>96</v>
      </c>
      <c r="N139" t="s">
        <v>65</v>
      </c>
      <c r="O139" t="s">
        <v>88</v>
      </c>
      <c r="P139" t="s">
        <v>65</v>
      </c>
      <c r="Q139" t="s">
        <v>57</v>
      </c>
      <c r="R139" t="s">
        <v>88</v>
      </c>
      <c r="S139" t="s">
        <v>49</v>
      </c>
      <c r="T139" t="s">
        <v>65</v>
      </c>
      <c r="U139" t="s">
        <v>57</v>
      </c>
      <c r="V139" t="s">
        <v>49</v>
      </c>
    </row>
    <row r="140" spans="1:22" x14ac:dyDescent="0.35">
      <c r="A140" t="s">
        <v>269</v>
      </c>
      <c r="B140" t="s">
        <v>240</v>
      </c>
      <c r="C140" t="s">
        <v>45</v>
      </c>
      <c r="D140" t="s">
        <v>47</v>
      </c>
      <c r="E140" t="s">
        <v>80</v>
      </c>
      <c r="F140" t="s">
        <v>57</v>
      </c>
      <c r="G140" t="s">
        <v>64</v>
      </c>
      <c r="H140" t="s">
        <v>85</v>
      </c>
      <c r="I140" t="s">
        <v>86</v>
      </c>
      <c r="J140" t="s">
        <v>77</v>
      </c>
      <c r="K140" t="s">
        <v>57</v>
      </c>
      <c r="L140" t="s">
        <v>77</v>
      </c>
      <c r="M140" t="s">
        <v>96</v>
      </c>
      <c r="N140" t="s">
        <v>65</v>
      </c>
      <c r="O140" t="s">
        <v>49</v>
      </c>
      <c r="P140" t="s">
        <v>65</v>
      </c>
      <c r="Q140" t="s">
        <v>57</v>
      </c>
      <c r="R140" t="s">
        <v>57</v>
      </c>
      <c r="S140" t="s">
        <v>49</v>
      </c>
      <c r="T140" t="s">
        <v>65</v>
      </c>
      <c r="U140" t="s">
        <v>57</v>
      </c>
      <c r="V140" t="s">
        <v>49</v>
      </c>
    </row>
    <row r="141" spans="1:22" x14ac:dyDescent="0.35">
      <c r="A141" t="s">
        <v>270</v>
      </c>
      <c r="B141" t="s">
        <v>240</v>
      </c>
      <c r="C141" t="s">
        <v>45</v>
      </c>
      <c r="D141" t="s">
        <v>47</v>
      </c>
      <c r="E141" t="s">
        <v>80</v>
      </c>
      <c r="F141" t="s">
        <v>57</v>
      </c>
      <c r="G141" t="s">
        <v>68</v>
      </c>
      <c r="H141" t="s">
        <v>95</v>
      </c>
      <c r="I141" t="s">
        <v>52</v>
      </c>
      <c r="J141" t="s">
        <v>53</v>
      </c>
      <c r="K141" t="s">
        <v>49</v>
      </c>
      <c r="L141" t="s">
        <v>54</v>
      </c>
      <c r="M141" t="s">
        <v>65</v>
      </c>
      <c r="N141" t="s">
        <v>65</v>
      </c>
      <c r="O141" t="s">
        <v>57</v>
      </c>
      <c r="P141" t="s">
        <v>66</v>
      </c>
      <c r="Q141" t="s">
        <v>57</v>
      </c>
      <c r="R141" t="s">
        <v>57</v>
      </c>
      <c r="S141" t="s">
        <v>49</v>
      </c>
      <c r="T141" t="s">
        <v>137</v>
      </c>
      <c r="U141" t="s">
        <v>57</v>
      </c>
      <c r="V141" t="s">
        <v>49</v>
      </c>
    </row>
    <row r="142" spans="1:22" x14ac:dyDescent="0.35">
      <c r="A142" t="s">
        <v>271</v>
      </c>
      <c r="B142" t="s">
        <v>240</v>
      </c>
      <c r="C142" t="s">
        <v>45</v>
      </c>
      <c r="D142" t="s">
        <v>62</v>
      </c>
      <c r="E142" t="s">
        <v>80</v>
      </c>
      <c r="F142" t="s">
        <v>57</v>
      </c>
      <c r="G142" t="s">
        <v>102</v>
      </c>
      <c r="H142" t="s">
        <v>95</v>
      </c>
      <c r="I142" t="s">
        <v>52</v>
      </c>
      <c r="J142" t="s">
        <v>77</v>
      </c>
      <c r="K142" t="s">
        <v>57</v>
      </c>
      <c r="L142" t="s">
        <v>77</v>
      </c>
      <c r="M142" t="s">
        <v>55</v>
      </c>
      <c r="N142" t="s">
        <v>111</v>
      </c>
      <c r="O142" t="s">
        <v>57</v>
      </c>
      <c r="P142" t="s">
        <v>65</v>
      </c>
      <c r="Q142" t="s">
        <v>57</v>
      </c>
      <c r="R142" t="s">
        <v>49</v>
      </c>
      <c r="S142" t="s">
        <v>49</v>
      </c>
      <c r="T142" t="s">
        <v>65</v>
      </c>
      <c r="U142" t="s">
        <v>57</v>
      </c>
      <c r="V142" t="s">
        <v>49</v>
      </c>
    </row>
    <row r="143" spans="1:22" x14ac:dyDescent="0.35">
      <c r="A143" t="s">
        <v>272</v>
      </c>
      <c r="B143" t="s">
        <v>240</v>
      </c>
      <c r="C143" t="s">
        <v>45</v>
      </c>
      <c r="D143" t="s">
        <v>47</v>
      </c>
      <c r="E143" t="s">
        <v>74</v>
      </c>
      <c r="F143" t="s">
        <v>57</v>
      </c>
      <c r="G143" t="s">
        <v>109</v>
      </c>
      <c r="H143" t="s">
        <v>85</v>
      </c>
      <c r="I143" t="s">
        <v>52</v>
      </c>
      <c r="J143" t="s">
        <v>53</v>
      </c>
      <c r="K143" t="s">
        <v>57</v>
      </c>
      <c r="L143" t="s">
        <v>53</v>
      </c>
      <c r="M143" t="s">
        <v>55</v>
      </c>
      <c r="N143" t="s">
        <v>56</v>
      </c>
      <c r="O143" t="s">
        <v>57</v>
      </c>
      <c r="P143" t="s">
        <v>58</v>
      </c>
      <c r="Q143" t="s">
        <v>57</v>
      </c>
      <c r="R143" t="s">
        <v>49</v>
      </c>
      <c r="S143" t="s">
        <v>49</v>
      </c>
      <c r="T143" t="s">
        <v>59</v>
      </c>
      <c r="U143" t="s">
        <v>57</v>
      </c>
      <c r="V143" t="s">
        <v>57</v>
      </c>
    </row>
    <row r="144" spans="1:22" x14ac:dyDescent="0.35">
      <c r="A144" t="s">
        <v>273</v>
      </c>
      <c r="B144" t="s">
        <v>274</v>
      </c>
      <c r="C144" t="s">
        <v>61</v>
      </c>
      <c r="D144" t="s">
        <v>94</v>
      </c>
      <c r="E144" t="s">
        <v>80</v>
      </c>
      <c r="F144" t="s">
        <v>49</v>
      </c>
      <c r="G144" t="s">
        <v>68</v>
      </c>
      <c r="H144" t="s">
        <v>75</v>
      </c>
      <c r="I144" t="s">
        <v>52</v>
      </c>
      <c r="J144" t="s">
        <v>53</v>
      </c>
      <c r="K144" t="s">
        <v>49</v>
      </c>
      <c r="L144" t="s">
        <v>54</v>
      </c>
      <c r="M144" t="s">
        <v>65</v>
      </c>
      <c r="N144" t="s">
        <v>65</v>
      </c>
      <c r="O144" t="s">
        <v>57</v>
      </c>
      <c r="P144" t="s">
        <v>65</v>
      </c>
      <c r="Q144" t="s">
        <v>88</v>
      </c>
      <c r="R144" t="s">
        <v>49</v>
      </c>
      <c r="S144" t="s">
        <v>49</v>
      </c>
      <c r="T144" t="s">
        <v>65</v>
      </c>
      <c r="U144" t="s">
        <v>49</v>
      </c>
      <c r="V144" t="s">
        <v>49</v>
      </c>
    </row>
    <row r="145" spans="1:22" x14ac:dyDescent="0.35">
      <c r="A145" t="s">
        <v>275</v>
      </c>
      <c r="B145" t="s">
        <v>240</v>
      </c>
      <c r="C145" t="s">
        <v>61</v>
      </c>
      <c r="D145" t="s">
        <v>47</v>
      </c>
      <c r="E145" t="s">
        <v>80</v>
      </c>
      <c r="F145" t="s">
        <v>49</v>
      </c>
      <c r="G145" t="s">
        <v>64</v>
      </c>
      <c r="H145" t="s">
        <v>99</v>
      </c>
      <c r="I145" t="s">
        <v>86</v>
      </c>
      <c r="J145" t="s">
        <v>77</v>
      </c>
      <c r="K145" t="s">
        <v>49</v>
      </c>
      <c r="L145" t="s">
        <v>54</v>
      </c>
      <c r="M145" t="s">
        <v>65</v>
      </c>
      <c r="N145" t="s">
        <v>65</v>
      </c>
      <c r="O145" t="s">
        <v>57</v>
      </c>
      <c r="P145" t="s">
        <v>66</v>
      </c>
      <c r="Q145" t="s">
        <v>88</v>
      </c>
      <c r="R145" t="s">
        <v>49</v>
      </c>
      <c r="S145" t="s">
        <v>49</v>
      </c>
      <c r="T145" t="s">
        <v>65</v>
      </c>
      <c r="U145" t="s">
        <v>57</v>
      </c>
      <c r="V145" t="s">
        <v>49</v>
      </c>
    </row>
    <row r="146" spans="1:22" x14ac:dyDescent="0.35">
      <c r="A146" t="s">
        <v>276</v>
      </c>
      <c r="B146" t="s">
        <v>240</v>
      </c>
      <c r="C146" t="s">
        <v>45</v>
      </c>
      <c r="D146" t="s">
        <v>62</v>
      </c>
      <c r="E146" t="s">
        <v>74</v>
      </c>
      <c r="F146" t="s">
        <v>57</v>
      </c>
      <c r="G146" t="s">
        <v>68</v>
      </c>
      <c r="H146" t="s">
        <v>85</v>
      </c>
      <c r="I146" t="s">
        <v>52</v>
      </c>
      <c r="J146" t="s">
        <v>100</v>
      </c>
      <c r="K146" t="s">
        <v>57</v>
      </c>
      <c r="L146" t="s">
        <v>70</v>
      </c>
      <c r="M146" t="s">
        <v>55</v>
      </c>
      <c r="N146" t="s">
        <v>56</v>
      </c>
      <c r="O146" t="s">
        <v>57</v>
      </c>
      <c r="P146" t="s">
        <v>58</v>
      </c>
      <c r="Q146" t="s">
        <v>57</v>
      </c>
      <c r="R146" t="s">
        <v>57</v>
      </c>
      <c r="S146" t="s">
        <v>57</v>
      </c>
      <c r="T146" t="s">
        <v>59</v>
      </c>
      <c r="U146" t="s">
        <v>57</v>
      </c>
      <c r="V146" t="s">
        <v>57</v>
      </c>
    </row>
    <row r="147" spans="1:22" x14ac:dyDescent="0.35">
      <c r="A147" t="s">
        <v>277</v>
      </c>
      <c r="B147" t="s">
        <v>240</v>
      </c>
      <c r="C147" t="s">
        <v>61</v>
      </c>
      <c r="D147" t="s">
        <v>47</v>
      </c>
      <c r="E147" t="s">
        <v>80</v>
      </c>
      <c r="F147" t="s">
        <v>57</v>
      </c>
      <c r="G147" t="s">
        <v>102</v>
      </c>
      <c r="H147" t="s">
        <v>85</v>
      </c>
      <c r="I147" t="s">
        <v>81</v>
      </c>
      <c r="J147" t="s">
        <v>76</v>
      </c>
      <c r="K147" t="s">
        <v>57</v>
      </c>
      <c r="L147" t="s">
        <v>278</v>
      </c>
      <c r="M147" t="s">
        <v>55</v>
      </c>
      <c r="N147" t="s">
        <v>78</v>
      </c>
      <c r="O147" t="s">
        <v>49</v>
      </c>
      <c r="P147" t="s">
        <v>58</v>
      </c>
      <c r="Q147" t="s">
        <v>57</v>
      </c>
      <c r="R147" t="s">
        <v>49</v>
      </c>
      <c r="S147" t="s">
        <v>49</v>
      </c>
      <c r="T147" t="s">
        <v>65</v>
      </c>
      <c r="U147" t="s">
        <v>57</v>
      </c>
      <c r="V147" t="s">
        <v>57</v>
      </c>
    </row>
    <row r="148" spans="1:22" x14ac:dyDescent="0.35">
      <c r="A148" t="s">
        <v>279</v>
      </c>
      <c r="B148" t="s">
        <v>240</v>
      </c>
      <c r="C148" t="s">
        <v>61</v>
      </c>
      <c r="D148" t="s">
        <v>47</v>
      </c>
      <c r="E148" t="s">
        <v>80</v>
      </c>
      <c r="F148" t="s">
        <v>49</v>
      </c>
      <c r="G148" t="s">
        <v>64</v>
      </c>
      <c r="H148" t="s">
        <v>75</v>
      </c>
      <c r="I148" t="s">
        <v>52</v>
      </c>
      <c r="J148" t="s">
        <v>53</v>
      </c>
      <c r="K148" t="s">
        <v>49</v>
      </c>
      <c r="L148" t="s">
        <v>54</v>
      </c>
      <c r="M148" t="s">
        <v>55</v>
      </c>
      <c r="N148" t="s">
        <v>78</v>
      </c>
      <c r="O148" t="s">
        <v>88</v>
      </c>
      <c r="P148" t="s">
        <v>65</v>
      </c>
      <c r="Q148" t="s">
        <v>57</v>
      </c>
      <c r="R148" t="s">
        <v>146</v>
      </c>
      <c r="S148" t="s">
        <v>49</v>
      </c>
      <c r="T148" t="s">
        <v>65</v>
      </c>
      <c r="U148" t="s">
        <v>88</v>
      </c>
      <c r="V148" t="s">
        <v>49</v>
      </c>
    </row>
    <row r="149" spans="1:22" x14ac:dyDescent="0.35">
      <c r="A149" t="s">
        <v>280</v>
      </c>
      <c r="B149" t="s">
        <v>240</v>
      </c>
      <c r="C149" t="s">
        <v>61</v>
      </c>
      <c r="D149" t="s">
        <v>47</v>
      </c>
      <c r="E149" t="s">
        <v>74</v>
      </c>
      <c r="F149" t="s">
        <v>49</v>
      </c>
      <c r="G149" t="s">
        <v>102</v>
      </c>
      <c r="H149" t="s">
        <v>75</v>
      </c>
      <c r="I149" t="s">
        <v>69</v>
      </c>
      <c r="J149" t="s">
        <v>87</v>
      </c>
      <c r="K149" t="s">
        <v>49</v>
      </c>
      <c r="L149" t="s">
        <v>54</v>
      </c>
      <c r="M149" t="s">
        <v>96</v>
      </c>
      <c r="N149" t="s">
        <v>72</v>
      </c>
      <c r="O149" t="s">
        <v>49</v>
      </c>
      <c r="P149" t="s">
        <v>105</v>
      </c>
      <c r="Q149" t="s">
        <v>88</v>
      </c>
      <c r="R149" t="s">
        <v>88</v>
      </c>
      <c r="S149" t="s">
        <v>49</v>
      </c>
      <c r="T149" t="s">
        <v>59</v>
      </c>
      <c r="U149" t="s">
        <v>49</v>
      </c>
      <c r="V149" t="s">
        <v>49</v>
      </c>
    </row>
    <row r="150" spans="1:22" x14ac:dyDescent="0.35">
      <c r="A150" t="s">
        <v>281</v>
      </c>
      <c r="B150" t="s">
        <v>240</v>
      </c>
      <c r="C150" t="s">
        <v>45</v>
      </c>
      <c r="D150" t="s">
        <v>62</v>
      </c>
      <c r="E150" t="s">
        <v>74</v>
      </c>
      <c r="F150" t="s">
        <v>57</v>
      </c>
      <c r="G150" t="s">
        <v>68</v>
      </c>
      <c r="H150" t="s">
        <v>51</v>
      </c>
      <c r="I150" t="s">
        <v>81</v>
      </c>
      <c r="J150" t="s">
        <v>87</v>
      </c>
      <c r="K150" t="s">
        <v>49</v>
      </c>
      <c r="L150" t="s">
        <v>54</v>
      </c>
      <c r="M150" t="s">
        <v>65</v>
      </c>
      <c r="N150" t="s">
        <v>65</v>
      </c>
      <c r="O150" t="s">
        <v>57</v>
      </c>
      <c r="P150" t="s">
        <v>65</v>
      </c>
      <c r="Q150" t="s">
        <v>57</v>
      </c>
      <c r="R150" t="s">
        <v>49</v>
      </c>
      <c r="S150" t="s">
        <v>49</v>
      </c>
      <c r="T150" t="s">
        <v>65</v>
      </c>
      <c r="U150" t="s">
        <v>57</v>
      </c>
      <c r="V150" t="s">
        <v>49</v>
      </c>
    </row>
    <row r="151" spans="1:22" x14ac:dyDescent="0.35">
      <c r="A151" t="s">
        <v>282</v>
      </c>
      <c r="B151" t="s">
        <v>240</v>
      </c>
      <c r="C151" t="s">
        <v>45</v>
      </c>
      <c r="D151" t="s">
        <v>47</v>
      </c>
      <c r="E151" t="s">
        <v>80</v>
      </c>
      <c r="F151" t="s">
        <v>57</v>
      </c>
      <c r="G151" t="s">
        <v>64</v>
      </c>
      <c r="H151" t="s">
        <v>75</v>
      </c>
      <c r="I151" t="s">
        <v>52</v>
      </c>
      <c r="J151" t="s">
        <v>53</v>
      </c>
      <c r="K151" t="s">
        <v>49</v>
      </c>
      <c r="L151" t="s">
        <v>54</v>
      </c>
      <c r="M151" t="s">
        <v>65</v>
      </c>
      <c r="N151" t="s">
        <v>65</v>
      </c>
      <c r="O151" t="s">
        <v>88</v>
      </c>
      <c r="P151" t="s">
        <v>105</v>
      </c>
      <c r="Q151" t="s">
        <v>57</v>
      </c>
      <c r="R151" t="s">
        <v>49</v>
      </c>
      <c r="S151" t="s">
        <v>49</v>
      </c>
      <c r="T151" t="s">
        <v>83</v>
      </c>
      <c r="U151" t="s">
        <v>57</v>
      </c>
      <c r="V151" t="s">
        <v>49</v>
      </c>
    </row>
    <row r="152" spans="1:22" x14ac:dyDescent="0.35">
      <c r="A152" t="s">
        <v>283</v>
      </c>
      <c r="B152" t="s">
        <v>240</v>
      </c>
      <c r="C152" t="s">
        <v>61</v>
      </c>
      <c r="D152" t="s">
        <v>62</v>
      </c>
      <c r="E152" t="s">
        <v>284</v>
      </c>
      <c r="F152" t="s">
        <v>57</v>
      </c>
      <c r="G152" t="s">
        <v>50</v>
      </c>
      <c r="H152" t="s">
        <v>51</v>
      </c>
      <c r="I152" t="s">
        <v>81</v>
      </c>
      <c r="J152" t="s">
        <v>87</v>
      </c>
      <c r="K152" t="s">
        <v>49</v>
      </c>
      <c r="L152" t="s">
        <v>87</v>
      </c>
      <c r="M152" t="s">
        <v>96</v>
      </c>
      <c r="N152" t="s">
        <v>65</v>
      </c>
      <c r="O152" t="s">
        <v>57</v>
      </c>
      <c r="P152" t="s">
        <v>58</v>
      </c>
      <c r="Q152" t="s">
        <v>57</v>
      </c>
      <c r="R152" t="s">
        <v>49</v>
      </c>
      <c r="S152" t="s">
        <v>49</v>
      </c>
      <c r="T152" t="s">
        <v>83</v>
      </c>
      <c r="U152" t="s">
        <v>57</v>
      </c>
      <c r="V152" t="s">
        <v>49</v>
      </c>
    </row>
    <row r="153" spans="1:22" x14ac:dyDescent="0.35">
      <c r="A153" t="s">
        <v>285</v>
      </c>
      <c r="B153" t="s">
        <v>240</v>
      </c>
      <c r="C153" t="s">
        <v>45</v>
      </c>
      <c r="D153" t="s">
        <v>47</v>
      </c>
      <c r="E153" t="s">
        <v>74</v>
      </c>
      <c r="F153" t="s">
        <v>49</v>
      </c>
      <c r="G153" t="s">
        <v>64</v>
      </c>
      <c r="H153" t="s">
        <v>75</v>
      </c>
      <c r="I153" t="s">
        <v>86</v>
      </c>
      <c r="J153" t="s">
        <v>53</v>
      </c>
      <c r="K153" t="s">
        <v>49</v>
      </c>
      <c r="L153" t="s">
        <v>54</v>
      </c>
      <c r="M153" t="s">
        <v>65</v>
      </c>
      <c r="N153" t="s">
        <v>65</v>
      </c>
      <c r="O153" t="s">
        <v>57</v>
      </c>
      <c r="P153" t="s">
        <v>65</v>
      </c>
      <c r="Q153" t="s">
        <v>49</v>
      </c>
      <c r="R153" t="s">
        <v>88</v>
      </c>
      <c r="S153" t="s">
        <v>49</v>
      </c>
      <c r="T153" t="s">
        <v>65</v>
      </c>
      <c r="U153" t="s">
        <v>88</v>
      </c>
      <c r="V153" t="s">
        <v>49</v>
      </c>
    </row>
    <row r="154" spans="1:22" x14ac:dyDescent="0.35">
      <c r="A154" t="s">
        <v>286</v>
      </c>
      <c r="B154" t="s">
        <v>240</v>
      </c>
      <c r="C154" t="s">
        <v>61</v>
      </c>
      <c r="D154" t="s">
        <v>47</v>
      </c>
      <c r="E154" t="s">
        <v>74</v>
      </c>
      <c r="F154" t="s">
        <v>57</v>
      </c>
      <c r="G154" t="s">
        <v>50</v>
      </c>
      <c r="H154" t="s">
        <v>85</v>
      </c>
      <c r="I154" t="s">
        <v>69</v>
      </c>
      <c r="J154" t="s">
        <v>53</v>
      </c>
      <c r="K154" t="s">
        <v>57</v>
      </c>
      <c r="L154" t="s">
        <v>53</v>
      </c>
      <c r="M154" t="s">
        <v>55</v>
      </c>
      <c r="N154" t="s">
        <v>56</v>
      </c>
      <c r="O154" t="s">
        <v>57</v>
      </c>
      <c r="P154" t="s">
        <v>58</v>
      </c>
      <c r="Q154" t="s">
        <v>57</v>
      </c>
      <c r="R154" t="s">
        <v>57</v>
      </c>
      <c r="S154" t="s">
        <v>49</v>
      </c>
      <c r="T154" t="s">
        <v>59</v>
      </c>
      <c r="U154" t="s">
        <v>57</v>
      </c>
      <c r="V154" t="s">
        <v>57</v>
      </c>
    </row>
    <row r="155" spans="1:22" x14ac:dyDescent="0.35">
      <c r="A155" t="s">
        <v>287</v>
      </c>
      <c r="B155" t="s">
        <v>240</v>
      </c>
      <c r="C155" t="s">
        <v>61</v>
      </c>
      <c r="D155" t="s">
        <v>62</v>
      </c>
      <c r="E155" t="s">
        <v>74</v>
      </c>
      <c r="F155" t="s">
        <v>57</v>
      </c>
      <c r="G155" t="s">
        <v>102</v>
      </c>
      <c r="H155" t="s">
        <v>95</v>
      </c>
      <c r="I155" t="s">
        <v>136</v>
      </c>
      <c r="J155" t="s">
        <v>53</v>
      </c>
      <c r="K155" t="s">
        <v>57</v>
      </c>
      <c r="L155" t="s">
        <v>53</v>
      </c>
      <c r="M155" t="s">
        <v>96</v>
      </c>
      <c r="N155" t="s">
        <v>65</v>
      </c>
      <c r="O155" t="s">
        <v>57</v>
      </c>
      <c r="P155" t="s">
        <v>65</v>
      </c>
      <c r="Q155" t="s">
        <v>49</v>
      </c>
      <c r="R155" t="s">
        <v>49</v>
      </c>
      <c r="S155" t="s">
        <v>57</v>
      </c>
      <c r="T155" t="s">
        <v>65</v>
      </c>
      <c r="U155" t="s">
        <v>57</v>
      </c>
      <c r="V155" t="s">
        <v>57</v>
      </c>
    </row>
    <row r="156" spans="1:22" x14ac:dyDescent="0.35">
      <c r="A156" t="s">
        <v>288</v>
      </c>
      <c r="B156" t="s">
        <v>240</v>
      </c>
      <c r="C156" t="s">
        <v>45</v>
      </c>
      <c r="D156" t="s">
        <v>62</v>
      </c>
      <c r="E156" t="s">
        <v>74</v>
      </c>
      <c r="F156" t="s">
        <v>57</v>
      </c>
      <c r="G156" t="s">
        <v>68</v>
      </c>
      <c r="H156" t="s">
        <v>51</v>
      </c>
      <c r="I156" t="s">
        <v>81</v>
      </c>
      <c r="J156" t="s">
        <v>76</v>
      </c>
      <c r="K156" t="s">
        <v>57</v>
      </c>
      <c r="L156" t="s">
        <v>82</v>
      </c>
      <c r="M156" t="s">
        <v>65</v>
      </c>
      <c r="N156" t="s">
        <v>65</v>
      </c>
      <c r="O156" t="s">
        <v>57</v>
      </c>
      <c r="P156" t="s">
        <v>58</v>
      </c>
      <c r="Q156" t="s">
        <v>49</v>
      </c>
      <c r="R156" t="s">
        <v>57</v>
      </c>
      <c r="S156" t="s">
        <v>57</v>
      </c>
      <c r="T156" t="s">
        <v>65</v>
      </c>
      <c r="U156" t="s">
        <v>49</v>
      </c>
      <c r="V156" t="s">
        <v>57</v>
      </c>
    </row>
    <row r="157" spans="1:22" x14ac:dyDescent="0.35">
      <c r="A157" t="s">
        <v>289</v>
      </c>
      <c r="B157" t="s">
        <v>240</v>
      </c>
      <c r="C157" t="s">
        <v>45</v>
      </c>
      <c r="D157" t="s">
        <v>94</v>
      </c>
      <c r="E157" t="s">
        <v>48</v>
      </c>
      <c r="F157" t="s">
        <v>57</v>
      </c>
      <c r="G157" t="s">
        <v>64</v>
      </c>
      <c r="H157" t="s">
        <v>51</v>
      </c>
      <c r="I157" t="s">
        <v>52</v>
      </c>
      <c r="J157" t="s">
        <v>53</v>
      </c>
      <c r="K157" t="s">
        <v>57</v>
      </c>
      <c r="L157" t="s">
        <v>53</v>
      </c>
      <c r="M157" t="s">
        <v>55</v>
      </c>
      <c r="N157" t="s">
        <v>56</v>
      </c>
      <c r="O157" t="s">
        <v>57</v>
      </c>
      <c r="P157" t="s">
        <v>58</v>
      </c>
      <c r="Q157" t="s">
        <v>49</v>
      </c>
      <c r="R157" t="s">
        <v>49</v>
      </c>
      <c r="S157" t="s">
        <v>49</v>
      </c>
      <c r="T157" t="s">
        <v>59</v>
      </c>
      <c r="U157" t="s">
        <v>57</v>
      </c>
      <c r="V157" t="s">
        <v>57</v>
      </c>
    </row>
    <row r="158" spans="1:22" x14ac:dyDescent="0.35">
      <c r="A158" t="s">
        <v>290</v>
      </c>
      <c r="B158" t="s">
        <v>240</v>
      </c>
      <c r="C158" t="s">
        <v>45</v>
      </c>
      <c r="D158" t="s">
        <v>47</v>
      </c>
      <c r="E158" t="s">
        <v>74</v>
      </c>
      <c r="F158" t="s">
        <v>57</v>
      </c>
      <c r="G158" t="s">
        <v>68</v>
      </c>
      <c r="H158" t="s">
        <v>85</v>
      </c>
      <c r="I158" t="s">
        <v>52</v>
      </c>
      <c r="J158" t="s">
        <v>53</v>
      </c>
      <c r="K158" t="s">
        <v>57</v>
      </c>
      <c r="L158" t="s">
        <v>87</v>
      </c>
      <c r="M158" t="s">
        <v>96</v>
      </c>
      <c r="N158" t="s">
        <v>78</v>
      </c>
      <c r="O158" t="s">
        <v>57</v>
      </c>
      <c r="P158" t="s">
        <v>66</v>
      </c>
      <c r="Q158" t="s">
        <v>57</v>
      </c>
      <c r="R158" t="s">
        <v>57</v>
      </c>
      <c r="S158" t="s">
        <v>57</v>
      </c>
      <c r="T158" t="s">
        <v>83</v>
      </c>
      <c r="U158" t="s">
        <v>57</v>
      </c>
      <c r="V158" t="s">
        <v>57</v>
      </c>
    </row>
    <row r="159" spans="1:22" x14ac:dyDescent="0.35">
      <c r="A159" t="s">
        <v>291</v>
      </c>
      <c r="B159" t="s">
        <v>240</v>
      </c>
      <c r="C159" t="s">
        <v>45</v>
      </c>
      <c r="D159" t="s">
        <v>47</v>
      </c>
      <c r="E159" t="s">
        <v>120</v>
      </c>
      <c r="F159" t="s">
        <v>57</v>
      </c>
      <c r="G159" t="s">
        <v>68</v>
      </c>
      <c r="H159" t="s">
        <v>95</v>
      </c>
      <c r="I159" t="s">
        <v>52</v>
      </c>
      <c r="J159" t="s">
        <v>53</v>
      </c>
      <c r="K159" t="s">
        <v>49</v>
      </c>
      <c r="L159" t="s">
        <v>54</v>
      </c>
      <c r="M159" t="s">
        <v>55</v>
      </c>
      <c r="N159" t="s">
        <v>56</v>
      </c>
      <c r="O159" t="s">
        <v>57</v>
      </c>
      <c r="P159" t="s">
        <v>58</v>
      </c>
      <c r="Q159" t="s">
        <v>57</v>
      </c>
      <c r="R159" t="s">
        <v>57</v>
      </c>
      <c r="S159" t="s">
        <v>57</v>
      </c>
      <c r="T159" t="s">
        <v>59</v>
      </c>
      <c r="U159" t="s">
        <v>57</v>
      </c>
      <c r="V159" t="s">
        <v>57</v>
      </c>
    </row>
    <row r="160" spans="1:22" x14ac:dyDescent="0.35">
      <c r="A160" t="s">
        <v>292</v>
      </c>
      <c r="B160" t="s">
        <v>240</v>
      </c>
      <c r="C160" t="s">
        <v>61</v>
      </c>
      <c r="D160" t="s">
        <v>62</v>
      </c>
      <c r="E160" t="s">
        <v>80</v>
      </c>
      <c r="F160" t="s">
        <v>57</v>
      </c>
      <c r="G160" t="s">
        <v>68</v>
      </c>
      <c r="H160" t="s">
        <v>85</v>
      </c>
      <c r="I160" t="s">
        <v>52</v>
      </c>
      <c r="J160" t="s">
        <v>76</v>
      </c>
      <c r="K160" t="s">
        <v>57</v>
      </c>
      <c r="L160" t="s">
        <v>82</v>
      </c>
      <c r="M160" t="s">
        <v>55</v>
      </c>
      <c r="N160" t="s">
        <v>56</v>
      </c>
      <c r="O160" t="s">
        <v>57</v>
      </c>
      <c r="P160" t="s">
        <v>66</v>
      </c>
      <c r="Q160" t="s">
        <v>57</v>
      </c>
      <c r="R160" t="s">
        <v>57</v>
      </c>
      <c r="S160" t="s">
        <v>57</v>
      </c>
      <c r="T160" t="s">
        <v>83</v>
      </c>
      <c r="U160" t="s">
        <v>57</v>
      </c>
      <c r="V160" t="s">
        <v>57</v>
      </c>
    </row>
    <row r="161" spans="1:22" x14ac:dyDescent="0.35">
      <c r="A161" t="s">
        <v>293</v>
      </c>
      <c r="B161" t="s">
        <v>240</v>
      </c>
      <c r="C161" t="s">
        <v>45</v>
      </c>
      <c r="D161" t="s">
        <v>62</v>
      </c>
      <c r="E161" t="s">
        <v>80</v>
      </c>
      <c r="F161" t="s">
        <v>49</v>
      </c>
      <c r="G161" t="s">
        <v>109</v>
      </c>
      <c r="H161" t="s">
        <v>95</v>
      </c>
      <c r="I161" t="s">
        <v>81</v>
      </c>
      <c r="J161" t="s">
        <v>53</v>
      </c>
      <c r="K161" t="s">
        <v>49</v>
      </c>
      <c r="L161" t="s">
        <v>54</v>
      </c>
      <c r="M161" t="s">
        <v>65</v>
      </c>
      <c r="N161" t="s">
        <v>65</v>
      </c>
      <c r="O161" t="s">
        <v>57</v>
      </c>
      <c r="P161" t="s">
        <v>66</v>
      </c>
      <c r="Q161" t="s">
        <v>57</v>
      </c>
      <c r="R161" t="s">
        <v>57</v>
      </c>
      <c r="S161" t="s">
        <v>57</v>
      </c>
      <c r="T161" t="s">
        <v>83</v>
      </c>
      <c r="U161" t="s">
        <v>57</v>
      </c>
      <c r="V161" t="s">
        <v>49</v>
      </c>
    </row>
    <row r="162" spans="1:22" x14ac:dyDescent="0.35">
      <c r="A162" t="s">
        <v>294</v>
      </c>
      <c r="B162" t="s">
        <v>240</v>
      </c>
      <c r="C162" t="s">
        <v>61</v>
      </c>
      <c r="D162" t="s">
        <v>104</v>
      </c>
      <c r="E162" t="s">
        <v>120</v>
      </c>
      <c r="F162" t="s">
        <v>49</v>
      </c>
      <c r="G162" t="s">
        <v>64</v>
      </c>
      <c r="H162" t="s">
        <v>99</v>
      </c>
      <c r="I162" t="s">
        <v>81</v>
      </c>
      <c r="J162" t="s">
        <v>77</v>
      </c>
      <c r="K162" t="s">
        <v>49</v>
      </c>
      <c r="L162" t="s">
        <v>77</v>
      </c>
      <c r="M162" t="s">
        <v>65</v>
      </c>
      <c r="N162" t="s">
        <v>72</v>
      </c>
      <c r="O162" t="s">
        <v>49</v>
      </c>
      <c r="P162" t="s">
        <v>105</v>
      </c>
      <c r="Q162" t="s">
        <v>49</v>
      </c>
      <c r="R162" t="s">
        <v>57</v>
      </c>
      <c r="S162" t="s">
        <v>49</v>
      </c>
      <c r="T162" t="s">
        <v>65</v>
      </c>
      <c r="U162" t="s">
        <v>57</v>
      </c>
      <c r="V162" t="s">
        <v>49</v>
      </c>
    </row>
    <row r="163" spans="1:22" x14ac:dyDescent="0.35">
      <c r="A163" t="s">
        <v>295</v>
      </c>
      <c r="B163" t="s">
        <v>240</v>
      </c>
      <c r="C163" t="s">
        <v>61</v>
      </c>
      <c r="D163" t="s">
        <v>47</v>
      </c>
      <c r="E163" t="s">
        <v>120</v>
      </c>
      <c r="F163" t="s">
        <v>57</v>
      </c>
      <c r="G163" t="s">
        <v>64</v>
      </c>
      <c r="H163" t="s">
        <v>75</v>
      </c>
      <c r="I163" t="s">
        <v>81</v>
      </c>
      <c r="J163" t="s">
        <v>53</v>
      </c>
      <c r="K163" t="s">
        <v>49</v>
      </c>
      <c r="L163" t="s">
        <v>77</v>
      </c>
      <c r="M163" t="s">
        <v>71</v>
      </c>
      <c r="N163" t="s">
        <v>72</v>
      </c>
      <c r="O163" t="s">
        <v>49</v>
      </c>
      <c r="P163" t="s">
        <v>105</v>
      </c>
      <c r="Q163" t="s">
        <v>88</v>
      </c>
      <c r="R163" t="s">
        <v>88</v>
      </c>
      <c r="S163" t="s">
        <v>49</v>
      </c>
      <c r="T163" t="s">
        <v>65</v>
      </c>
      <c r="U163" t="s">
        <v>57</v>
      </c>
      <c r="V163" t="s">
        <v>49</v>
      </c>
    </row>
    <row r="164" spans="1:22" x14ac:dyDescent="0.35">
      <c r="A164" t="s">
        <v>296</v>
      </c>
      <c r="B164" t="s">
        <v>240</v>
      </c>
      <c r="C164" t="s">
        <v>45</v>
      </c>
      <c r="D164" t="s">
        <v>47</v>
      </c>
      <c r="E164" t="s">
        <v>120</v>
      </c>
      <c r="F164" t="s">
        <v>57</v>
      </c>
      <c r="G164" t="s">
        <v>64</v>
      </c>
      <c r="H164" t="s">
        <v>75</v>
      </c>
      <c r="I164" t="s">
        <v>52</v>
      </c>
      <c r="J164" t="s">
        <v>53</v>
      </c>
      <c r="K164" t="s">
        <v>49</v>
      </c>
      <c r="L164" t="s">
        <v>77</v>
      </c>
      <c r="M164" t="s">
        <v>71</v>
      </c>
      <c r="N164" t="s">
        <v>72</v>
      </c>
      <c r="O164" t="s">
        <v>49</v>
      </c>
      <c r="P164" t="s">
        <v>105</v>
      </c>
      <c r="Q164" t="s">
        <v>88</v>
      </c>
      <c r="R164" t="s">
        <v>88</v>
      </c>
      <c r="S164" t="s">
        <v>49</v>
      </c>
      <c r="T164" t="s">
        <v>65</v>
      </c>
      <c r="U164" t="s">
        <v>57</v>
      </c>
      <c r="V164" t="s">
        <v>57</v>
      </c>
    </row>
    <row r="165" spans="1:22" x14ac:dyDescent="0.35">
      <c r="A165" t="s">
        <v>297</v>
      </c>
      <c r="B165" t="s">
        <v>240</v>
      </c>
      <c r="C165" t="s">
        <v>45</v>
      </c>
      <c r="D165" t="s">
        <v>47</v>
      </c>
      <c r="E165" t="s">
        <v>120</v>
      </c>
      <c r="F165" t="s">
        <v>57</v>
      </c>
      <c r="G165" t="s">
        <v>64</v>
      </c>
      <c r="H165" t="s">
        <v>75</v>
      </c>
      <c r="I165" t="s">
        <v>52</v>
      </c>
      <c r="J165" t="s">
        <v>53</v>
      </c>
      <c r="K165" t="s">
        <v>49</v>
      </c>
      <c r="L165" t="s">
        <v>77</v>
      </c>
      <c r="M165" t="s">
        <v>71</v>
      </c>
      <c r="N165" t="s">
        <v>72</v>
      </c>
      <c r="O165" t="s">
        <v>49</v>
      </c>
      <c r="P165" t="s">
        <v>105</v>
      </c>
      <c r="Q165" t="s">
        <v>88</v>
      </c>
      <c r="R165" t="s">
        <v>88</v>
      </c>
      <c r="S165" t="s">
        <v>49</v>
      </c>
      <c r="T165" t="s">
        <v>65</v>
      </c>
      <c r="U165" t="s">
        <v>57</v>
      </c>
      <c r="V165" t="s">
        <v>57</v>
      </c>
    </row>
    <row r="166" spans="1:22" x14ac:dyDescent="0.35">
      <c r="A166" t="s">
        <v>298</v>
      </c>
      <c r="B166" t="s">
        <v>240</v>
      </c>
      <c r="C166" t="s">
        <v>45</v>
      </c>
      <c r="D166" t="s">
        <v>94</v>
      </c>
      <c r="E166" t="s">
        <v>120</v>
      </c>
      <c r="F166" t="s">
        <v>57</v>
      </c>
      <c r="G166" t="s">
        <v>64</v>
      </c>
      <c r="H166" t="s">
        <v>75</v>
      </c>
      <c r="I166" t="s">
        <v>52</v>
      </c>
      <c r="J166" t="s">
        <v>53</v>
      </c>
      <c r="K166" t="s">
        <v>49</v>
      </c>
      <c r="L166" t="s">
        <v>54</v>
      </c>
      <c r="M166" t="s">
        <v>71</v>
      </c>
      <c r="N166" t="s">
        <v>65</v>
      </c>
      <c r="O166" t="s">
        <v>49</v>
      </c>
      <c r="P166" t="s">
        <v>105</v>
      </c>
      <c r="Q166" t="s">
        <v>57</v>
      </c>
      <c r="R166" t="s">
        <v>49</v>
      </c>
      <c r="S166" t="s">
        <v>49</v>
      </c>
      <c r="T166" t="s">
        <v>65</v>
      </c>
      <c r="U166" t="s">
        <v>57</v>
      </c>
      <c r="V166" t="s">
        <v>49</v>
      </c>
    </row>
    <row r="167" spans="1:22" x14ac:dyDescent="0.35">
      <c r="A167" t="s">
        <v>299</v>
      </c>
      <c r="B167" t="s">
        <v>240</v>
      </c>
      <c r="C167" t="s">
        <v>45</v>
      </c>
      <c r="D167" t="s">
        <v>94</v>
      </c>
      <c r="E167" t="s">
        <v>120</v>
      </c>
      <c r="F167" t="s">
        <v>57</v>
      </c>
      <c r="G167" t="s">
        <v>68</v>
      </c>
      <c r="H167" t="s">
        <v>99</v>
      </c>
      <c r="I167" t="s">
        <v>136</v>
      </c>
      <c r="J167" t="s">
        <v>53</v>
      </c>
      <c r="K167" t="s">
        <v>49</v>
      </c>
      <c r="L167" t="s">
        <v>53</v>
      </c>
      <c r="M167" t="s">
        <v>71</v>
      </c>
      <c r="N167" t="s">
        <v>72</v>
      </c>
      <c r="O167" t="s">
        <v>49</v>
      </c>
      <c r="P167" t="s">
        <v>105</v>
      </c>
      <c r="Q167" t="s">
        <v>88</v>
      </c>
      <c r="R167" t="s">
        <v>49</v>
      </c>
      <c r="S167" t="s">
        <v>49</v>
      </c>
      <c r="T167" t="s">
        <v>65</v>
      </c>
      <c r="U167" t="s">
        <v>57</v>
      </c>
      <c r="V167" t="s">
        <v>49</v>
      </c>
    </row>
    <row r="168" spans="1:22" x14ac:dyDescent="0.35">
      <c r="A168" t="s">
        <v>300</v>
      </c>
      <c r="B168" t="s">
        <v>240</v>
      </c>
      <c r="C168" t="s">
        <v>45</v>
      </c>
      <c r="D168" t="s">
        <v>47</v>
      </c>
      <c r="E168" t="s">
        <v>120</v>
      </c>
      <c r="F168" t="s">
        <v>49</v>
      </c>
      <c r="G168" t="s">
        <v>64</v>
      </c>
      <c r="H168" t="s">
        <v>75</v>
      </c>
      <c r="I168" t="s">
        <v>81</v>
      </c>
      <c r="J168" t="s">
        <v>53</v>
      </c>
      <c r="K168" t="s">
        <v>49</v>
      </c>
      <c r="L168" t="s">
        <v>53</v>
      </c>
      <c r="M168" t="s">
        <v>71</v>
      </c>
      <c r="N168" t="s">
        <v>65</v>
      </c>
      <c r="O168" t="s">
        <v>88</v>
      </c>
      <c r="P168" t="s">
        <v>65</v>
      </c>
      <c r="Q168" t="s">
        <v>49</v>
      </c>
      <c r="R168" t="s">
        <v>49</v>
      </c>
      <c r="S168" t="s">
        <v>49</v>
      </c>
      <c r="T168" t="s">
        <v>65</v>
      </c>
      <c r="U168" t="s">
        <v>57</v>
      </c>
      <c r="V168" t="s">
        <v>49</v>
      </c>
    </row>
    <row r="169" spans="1:22" x14ac:dyDescent="0.35">
      <c r="A169" t="s">
        <v>301</v>
      </c>
      <c r="B169" t="s">
        <v>240</v>
      </c>
      <c r="C169" t="s">
        <v>45</v>
      </c>
      <c r="D169" t="s">
        <v>47</v>
      </c>
      <c r="E169" t="s">
        <v>120</v>
      </c>
      <c r="F169" t="s">
        <v>49</v>
      </c>
      <c r="G169" t="s">
        <v>68</v>
      </c>
      <c r="H169" t="s">
        <v>99</v>
      </c>
      <c r="I169" t="s">
        <v>52</v>
      </c>
      <c r="J169" t="s">
        <v>53</v>
      </c>
      <c r="K169" t="s">
        <v>49</v>
      </c>
      <c r="L169" t="s">
        <v>53</v>
      </c>
      <c r="M169" t="s">
        <v>71</v>
      </c>
      <c r="N169" t="s">
        <v>72</v>
      </c>
      <c r="O169" t="s">
        <v>57</v>
      </c>
      <c r="P169" t="s">
        <v>105</v>
      </c>
      <c r="Q169" t="s">
        <v>57</v>
      </c>
      <c r="R169" t="s">
        <v>49</v>
      </c>
      <c r="S169" t="s">
        <v>49</v>
      </c>
      <c r="T169" t="s">
        <v>65</v>
      </c>
      <c r="U169" t="s">
        <v>57</v>
      </c>
      <c r="V169" t="s">
        <v>49</v>
      </c>
    </row>
    <row r="170" spans="1:22" x14ac:dyDescent="0.35">
      <c r="A170" t="s">
        <v>302</v>
      </c>
      <c r="B170" t="s">
        <v>240</v>
      </c>
      <c r="C170" t="s">
        <v>45</v>
      </c>
      <c r="D170" t="s">
        <v>47</v>
      </c>
      <c r="E170" t="s">
        <v>120</v>
      </c>
      <c r="F170" t="s">
        <v>49</v>
      </c>
      <c r="G170" t="s">
        <v>64</v>
      </c>
      <c r="H170" t="s">
        <v>99</v>
      </c>
      <c r="I170" t="s">
        <v>52</v>
      </c>
      <c r="J170" t="s">
        <v>53</v>
      </c>
      <c r="K170" t="s">
        <v>49</v>
      </c>
      <c r="L170" t="s">
        <v>54</v>
      </c>
      <c r="M170" t="s">
        <v>71</v>
      </c>
      <c r="N170" t="s">
        <v>72</v>
      </c>
      <c r="O170" t="s">
        <v>88</v>
      </c>
      <c r="P170" t="s">
        <v>105</v>
      </c>
      <c r="Q170" t="s">
        <v>88</v>
      </c>
      <c r="R170" t="s">
        <v>49</v>
      </c>
      <c r="S170" t="s">
        <v>49</v>
      </c>
      <c r="T170" t="s">
        <v>65</v>
      </c>
      <c r="U170" t="s">
        <v>57</v>
      </c>
      <c r="V170" t="s">
        <v>49</v>
      </c>
    </row>
    <row r="171" spans="1:22" x14ac:dyDescent="0.35">
      <c r="A171" t="s">
        <v>303</v>
      </c>
      <c r="B171" t="s">
        <v>240</v>
      </c>
      <c r="C171" t="s">
        <v>61</v>
      </c>
      <c r="D171" t="s">
        <v>47</v>
      </c>
      <c r="E171" t="s">
        <v>120</v>
      </c>
      <c r="F171" t="s">
        <v>49</v>
      </c>
      <c r="G171" t="s">
        <v>109</v>
      </c>
      <c r="H171" t="s">
        <v>75</v>
      </c>
      <c r="I171" t="s">
        <v>81</v>
      </c>
      <c r="J171" t="s">
        <v>53</v>
      </c>
      <c r="K171" t="s">
        <v>49</v>
      </c>
      <c r="L171" t="s">
        <v>53</v>
      </c>
      <c r="M171" t="s">
        <v>110</v>
      </c>
      <c r="N171" t="s">
        <v>111</v>
      </c>
      <c r="O171" t="s">
        <v>57</v>
      </c>
      <c r="P171" t="s">
        <v>105</v>
      </c>
      <c r="Q171" t="s">
        <v>88</v>
      </c>
      <c r="R171" t="s">
        <v>88</v>
      </c>
      <c r="S171" t="s">
        <v>49</v>
      </c>
      <c r="T171" t="s">
        <v>106</v>
      </c>
      <c r="U171" t="s">
        <v>49</v>
      </c>
      <c r="V171" t="s">
        <v>49</v>
      </c>
    </row>
    <row r="172" spans="1:22" x14ac:dyDescent="0.35">
      <c r="A172" t="s">
        <v>304</v>
      </c>
      <c r="B172" t="s">
        <v>240</v>
      </c>
      <c r="C172" t="s">
        <v>61</v>
      </c>
      <c r="D172" t="s">
        <v>47</v>
      </c>
      <c r="E172" t="s">
        <v>120</v>
      </c>
      <c r="F172" t="s">
        <v>49</v>
      </c>
      <c r="G172" t="s">
        <v>109</v>
      </c>
      <c r="H172" t="s">
        <v>75</v>
      </c>
      <c r="I172" t="s">
        <v>52</v>
      </c>
      <c r="J172" t="s">
        <v>77</v>
      </c>
      <c r="K172" t="s">
        <v>49</v>
      </c>
      <c r="L172" t="s">
        <v>54</v>
      </c>
      <c r="M172" t="s">
        <v>110</v>
      </c>
      <c r="N172" t="s">
        <v>65</v>
      </c>
      <c r="O172" t="s">
        <v>88</v>
      </c>
      <c r="P172" t="s">
        <v>126</v>
      </c>
      <c r="Q172" t="s">
        <v>88</v>
      </c>
      <c r="R172" t="s">
        <v>49</v>
      </c>
      <c r="S172" t="s">
        <v>49</v>
      </c>
      <c r="T172" t="s">
        <v>106</v>
      </c>
      <c r="U172" t="s">
        <v>49</v>
      </c>
      <c r="V172" t="s">
        <v>49</v>
      </c>
    </row>
    <row r="173" spans="1:22" x14ac:dyDescent="0.35">
      <c r="A173" t="s">
        <v>305</v>
      </c>
      <c r="B173" t="s">
        <v>240</v>
      </c>
      <c r="C173" t="s">
        <v>61</v>
      </c>
      <c r="D173" t="s">
        <v>47</v>
      </c>
      <c r="E173" t="s">
        <v>120</v>
      </c>
      <c r="F173" t="s">
        <v>49</v>
      </c>
      <c r="G173" t="s">
        <v>64</v>
      </c>
      <c r="H173" t="s">
        <v>75</v>
      </c>
      <c r="I173" t="s">
        <v>81</v>
      </c>
      <c r="J173" t="s">
        <v>53</v>
      </c>
      <c r="K173" t="s">
        <v>49</v>
      </c>
      <c r="L173" t="s">
        <v>53</v>
      </c>
      <c r="M173" t="s">
        <v>110</v>
      </c>
      <c r="N173" t="s">
        <v>56</v>
      </c>
      <c r="O173" t="s">
        <v>88</v>
      </c>
      <c r="P173" t="s">
        <v>126</v>
      </c>
      <c r="Q173" t="s">
        <v>88</v>
      </c>
      <c r="R173" t="s">
        <v>49</v>
      </c>
      <c r="S173" t="s">
        <v>49</v>
      </c>
      <c r="T173" t="s">
        <v>106</v>
      </c>
      <c r="U173" t="s">
        <v>49</v>
      </c>
      <c r="V173" t="s">
        <v>49</v>
      </c>
    </row>
    <row r="174" spans="1:22" x14ac:dyDescent="0.35">
      <c r="A174" t="s">
        <v>306</v>
      </c>
      <c r="B174" t="s">
        <v>240</v>
      </c>
      <c r="C174" t="s">
        <v>45</v>
      </c>
      <c r="D174" t="s">
        <v>94</v>
      </c>
      <c r="E174" t="s">
        <v>120</v>
      </c>
      <c r="F174" t="s">
        <v>49</v>
      </c>
      <c r="G174" t="s">
        <v>64</v>
      </c>
      <c r="H174" t="s">
        <v>75</v>
      </c>
      <c r="I174" t="s">
        <v>86</v>
      </c>
      <c r="J174" t="s">
        <v>53</v>
      </c>
      <c r="K174" t="s">
        <v>49</v>
      </c>
      <c r="L174" t="s">
        <v>53</v>
      </c>
      <c r="M174" t="s">
        <v>71</v>
      </c>
      <c r="N174" t="s">
        <v>72</v>
      </c>
      <c r="O174" t="s">
        <v>57</v>
      </c>
      <c r="P174" t="s">
        <v>105</v>
      </c>
      <c r="Q174" t="s">
        <v>88</v>
      </c>
      <c r="R174" t="s">
        <v>49</v>
      </c>
      <c r="S174" t="s">
        <v>49</v>
      </c>
      <c r="T174" t="s">
        <v>106</v>
      </c>
      <c r="U174" t="s">
        <v>49</v>
      </c>
      <c r="V174" t="s">
        <v>49</v>
      </c>
    </row>
    <row r="175" spans="1:22" x14ac:dyDescent="0.35">
      <c r="A175" t="s">
        <v>307</v>
      </c>
      <c r="B175" t="s">
        <v>240</v>
      </c>
      <c r="C175" t="s">
        <v>61</v>
      </c>
      <c r="D175" t="s">
        <v>47</v>
      </c>
      <c r="E175" t="s">
        <v>120</v>
      </c>
      <c r="F175" t="s">
        <v>49</v>
      </c>
      <c r="G175" t="s">
        <v>64</v>
      </c>
      <c r="H175" t="s">
        <v>75</v>
      </c>
      <c r="I175" t="s">
        <v>81</v>
      </c>
      <c r="J175" t="s">
        <v>53</v>
      </c>
      <c r="K175" t="s">
        <v>49</v>
      </c>
      <c r="L175" t="s">
        <v>53</v>
      </c>
      <c r="M175" t="s">
        <v>71</v>
      </c>
      <c r="N175" t="s">
        <v>72</v>
      </c>
      <c r="O175" t="s">
        <v>49</v>
      </c>
      <c r="P175" t="s">
        <v>105</v>
      </c>
      <c r="Q175" t="s">
        <v>49</v>
      </c>
      <c r="R175" t="s">
        <v>49</v>
      </c>
      <c r="S175" t="s">
        <v>49</v>
      </c>
      <c r="T175" t="s">
        <v>65</v>
      </c>
      <c r="U175" t="s">
        <v>49</v>
      </c>
      <c r="V175" t="s">
        <v>49</v>
      </c>
    </row>
    <row r="176" spans="1:22" x14ac:dyDescent="0.35">
      <c r="A176" t="s">
        <v>308</v>
      </c>
      <c r="B176" t="s">
        <v>240</v>
      </c>
      <c r="C176" t="s">
        <v>45</v>
      </c>
      <c r="D176" t="s">
        <v>94</v>
      </c>
      <c r="E176" t="s">
        <v>120</v>
      </c>
      <c r="F176" t="s">
        <v>49</v>
      </c>
      <c r="G176" t="s">
        <v>64</v>
      </c>
      <c r="H176" t="s">
        <v>95</v>
      </c>
      <c r="I176" t="s">
        <v>81</v>
      </c>
      <c r="J176" t="s">
        <v>77</v>
      </c>
      <c r="K176" t="s">
        <v>49</v>
      </c>
      <c r="L176" t="s">
        <v>53</v>
      </c>
      <c r="M176" t="s">
        <v>65</v>
      </c>
      <c r="N176" t="s">
        <v>72</v>
      </c>
      <c r="O176" t="s">
        <v>49</v>
      </c>
      <c r="P176" t="s">
        <v>105</v>
      </c>
      <c r="Q176" t="s">
        <v>57</v>
      </c>
      <c r="R176" t="s">
        <v>49</v>
      </c>
      <c r="S176" t="s">
        <v>49</v>
      </c>
      <c r="T176" t="s">
        <v>65</v>
      </c>
      <c r="U176" t="s">
        <v>49</v>
      </c>
      <c r="V176" t="s">
        <v>49</v>
      </c>
    </row>
    <row r="177" spans="1:22" x14ac:dyDescent="0.35">
      <c r="A177" t="s">
        <v>309</v>
      </c>
      <c r="B177" t="s">
        <v>240</v>
      </c>
      <c r="C177" t="s">
        <v>61</v>
      </c>
      <c r="D177" t="s">
        <v>62</v>
      </c>
      <c r="E177" t="s">
        <v>120</v>
      </c>
      <c r="F177" t="s">
        <v>49</v>
      </c>
      <c r="G177" t="s">
        <v>68</v>
      </c>
      <c r="H177" t="s">
        <v>51</v>
      </c>
      <c r="I177" t="s">
        <v>86</v>
      </c>
      <c r="J177" t="s">
        <v>53</v>
      </c>
      <c r="K177" t="s">
        <v>49</v>
      </c>
      <c r="L177" t="s">
        <v>54</v>
      </c>
      <c r="M177" t="s">
        <v>71</v>
      </c>
      <c r="N177" t="s">
        <v>72</v>
      </c>
      <c r="O177" t="s">
        <v>57</v>
      </c>
      <c r="P177" t="s">
        <v>65</v>
      </c>
      <c r="Q177" t="s">
        <v>57</v>
      </c>
      <c r="R177" t="s">
        <v>49</v>
      </c>
      <c r="S177" t="s">
        <v>49</v>
      </c>
      <c r="T177" t="s">
        <v>65</v>
      </c>
      <c r="U177" t="s">
        <v>49</v>
      </c>
      <c r="V177" t="s">
        <v>57</v>
      </c>
    </row>
    <row r="178" spans="1:22" x14ac:dyDescent="0.35">
      <c r="A178" t="s">
        <v>310</v>
      </c>
      <c r="B178" t="s">
        <v>240</v>
      </c>
      <c r="C178" t="s">
        <v>45</v>
      </c>
      <c r="D178" t="s">
        <v>47</v>
      </c>
      <c r="E178" t="s">
        <v>120</v>
      </c>
      <c r="F178" t="s">
        <v>57</v>
      </c>
      <c r="G178" t="s">
        <v>68</v>
      </c>
      <c r="H178" t="s">
        <v>51</v>
      </c>
      <c r="I178" t="s">
        <v>81</v>
      </c>
      <c r="J178" t="s">
        <v>53</v>
      </c>
      <c r="K178" t="s">
        <v>49</v>
      </c>
      <c r="L178" t="s">
        <v>54</v>
      </c>
      <c r="M178" t="s">
        <v>65</v>
      </c>
      <c r="N178" t="s">
        <v>65</v>
      </c>
      <c r="O178" t="s">
        <v>57</v>
      </c>
      <c r="P178" t="s">
        <v>66</v>
      </c>
      <c r="Q178" t="s">
        <v>57</v>
      </c>
      <c r="R178" t="s">
        <v>49</v>
      </c>
      <c r="S178" t="s">
        <v>49</v>
      </c>
      <c r="T178" t="s">
        <v>83</v>
      </c>
      <c r="U178" t="s">
        <v>57</v>
      </c>
      <c r="V178" t="s">
        <v>57</v>
      </c>
    </row>
    <row r="179" spans="1:22" x14ac:dyDescent="0.35">
      <c r="A179" t="s">
        <v>311</v>
      </c>
      <c r="B179" t="s">
        <v>240</v>
      </c>
      <c r="C179" t="s">
        <v>45</v>
      </c>
      <c r="D179" t="s">
        <v>47</v>
      </c>
      <c r="E179" t="s">
        <v>74</v>
      </c>
      <c r="F179" t="s">
        <v>49</v>
      </c>
      <c r="G179" t="s">
        <v>109</v>
      </c>
      <c r="H179" t="s">
        <v>75</v>
      </c>
      <c r="I179" t="s">
        <v>81</v>
      </c>
      <c r="J179" t="s">
        <v>87</v>
      </c>
      <c r="K179" t="s">
        <v>49</v>
      </c>
      <c r="L179" t="s">
        <v>54</v>
      </c>
      <c r="M179" t="s">
        <v>65</v>
      </c>
      <c r="N179" t="s">
        <v>72</v>
      </c>
      <c r="O179" t="s">
        <v>57</v>
      </c>
      <c r="P179" t="s">
        <v>66</v>
      </c>
      <c r="Q179" t="s">
        <v>88</v>
      </c>
      <c r="R179" t="s">
        <v>88</v>
      </c>
      <c r="S179" t="s">
        <v>49</v>
      </c>
      <c r="T179" t="s">
        <v>65</v>
      </c>
      <c r="U179" t="s">
        <v>57</v>
      </c>
      <c r="V179" t="s">
        <v>49</v>
      </c>
    </row>
    <row r="180" spans="1:22" x14ac:dyDescent="0.35">
      <c r="A180" t="s">
        <v>312</v>
      </c>
      <c r="B180" t="s">
        <v>240</v>
      </c>
      <c r="C180" t="s">
        <v>61</v>
      </c>
      <c r="D180" t="s">
        <v>47</v>
      </c>
      <c r="E180" t="s">
        <v>120</v>
      </c>
      <c r="F180" t="s">
        <v>49</v>
      </c>
      <c r="G180" t="s">
        <v>64</v>
      </c>
      <c r="H180" t="s">
        <v>75</v>
      </c>
      <c r="I180" t="s">
        <v>52</v>
      </c>
      <c r="J180" t="s">
        <v>53</v>
      </c>
      <c r="K180" t="s">
        <v>49</v>
      </c>
      <c r="L180" t="s">
        <v>54</v>
      </c>
      <c r="M180" t="s">
        <v>71</v>
      </c>
      <c r="N180" t="s">
        <v>72</v>
      </c>
      <c r="O180" t="s">
        <v>88</v>
      </c>
      <c r="P180" t="s">
        <v>105</v>
      </c>
      <c r="Q180" t="s">
        <v>49</v>
      </c>
      <c r="R180" t="s">
        <v>49</v>
      </c>
      <c r="S180" t="s">
        <v>49</v>
      </c>
      <c r="T180" t="s">
        <v>106</v>
      </c>
      <c r="U180" t="s">
        <v>88</v>
      </c>
      <c r="V180" t="s">
        <v>49</v>
      </c>
    </row>
    <row r="181" spans="1:22" x14ac:dyDescent="0.35">
      <c r="A181" t="s">
        <v>313</v>
      </c>
      <c r="B181" t="s">
        <v>240</v>
      </c>
      <c r="C181" t="s">
        <v>45</v>
      </c>
      <c r="D181" t="s">
        <v>94</v>
      </c>
      <c r="E181" t="s">
        <v>120</v>
      </c>
      <c r="F181" t="s">
        <v>49</v>
      </c>
      <c r="G181" t="s">
        <v>64</v>
      </c>
      <c r="H181" t="s">
        <v>99</v>
      </c>
      <c r="I181" t="s">
        <v>52</v>
      </c>
      <c r="J181" t="s">
        <v>53</v>
      </c>
      <c r="K181" t="s">
        <v>49</v>
      </c>
      <c r="L181" t="s">
        <v>53</v>
      </c>
      <c r="M181" t="s">
        <v>71</v>
      </c>
      <c r="N181" t="s">
        <v>72</v>
      </c>
      <c r="O181" t="s">
        <v>57</v>
      </c>
      <c r="P181" t="s">
        <v>105</v>
      </c>
      <c r="Q181" t="s">
        <v>57</v>
      </c>
      <c r="R181" t="s">
        <v>49</v>
      </c>
      <c r="S181" t="s">
        <v>49</v>
      </c>
      <c r="T181" t="s">
        <v>65</v>
      </c>
      <c r="U181" t="s">
        <v>49</v>
      </c>
      <c r="V181" t="s">
        <v>49</v>
      </c>
    </row>
    <row r="182" spans="1:22" x14ac:dyDescent="0.35">
      <c r="A182" t="s">
        <v>314</v>
      </c>
      <c r="B182" t="s">
        <v>240</v>
      </c>
      <c r="C182" t="s">
        <v>45</v>
      </c>
      <c r="D182" t="s">
        <v>47</v>
      </c>
      <c r="E182" t="s">
        <v>120</v>
      </c>
      <c r="F182" t="s">
        <v>49</v>
      </c>
      <c r="G182" t="s">
        <v>64</v>
      </c>
      <c r="H182" t="s">
        <v>75</v>
      </c>
      <c r="I182" t="s">
        <v>52</v>
      </c>
      <c r="J182" t="s">
        <v>53</v>
      </c>
      <c r="K182" t="s">
        <v>49</v>
      </c>
      <c r="L182" t="s">
        <v>53</v>
      </c>
      <c r="M182" t="s">
        <v>71</v>
      </c>
      <c r="N182" t="s">
        <v>72</v>
      </c>
      <c r="O182" t="s">
        <v>49</v>
      </c>
      <c r="P182" t="s">
        <v>105</v>
      </c>
      <c r="Q182" t="s">
        <v>49</v>
      </c>
      <c r="R182" t="s">
        <v>49</v>
      </c>
      <c r="S182" t="s">
        <v>49</v>
      </c>
      <c r="T182" t="s">
        <v>106</v>
      </c>
      <c r="U182" t="s">
        <v>49</v>
      </c>
      <c r="V182" t="s">
        <v>49</v>
      </c>
    </row>
    <row r="183" spans="1:22" x14ac:dyDescent="0.35">
      <c r="A183" t="s">
        <v>315</v>
      </c>
      <c r="B183" t="s">
        <v>240</v>
      </c>
      <c r="C183" t="s">
        <v>45</v>
      </c>
      <c r="D183" t="s">
        <v>47</v>
      </c>
      <c r="E183" t="s">
        <v>80</v>
      </c>
      <c r="F183" t="s">
        <v>57</v>
      </c>
      <c r="G183" t="s">
        <v>102</v>
      </c>
      <c r="H183" t="s">
        <v>85</v>
      </c>
      <c r="I183" t="s">
        <v>52</v>
      </c>
      <c r="J183" t="s">
        <v>53</v>
      </c>
      <c r="K183" t="s">
        <v>57</v>
      </c>
      <c r="L183" t="s">
        <v>70</v>
      </c>
      <c r="M183" t="s">
        <v>96</v>
      </c>
      <c r="N183" t="s">
        <v>78</v>
      </c>
      <c r="O183" t="s">
        <v>57</v>
      </c>
      <c r="P183" t="s">
        <v>58</v>
      </c>
      <c r="Q183" t="s">
        <v>88</v>
      </c>
      <c r="R183" t="s">
        <v>88</v>
      </c>
      <c r="S183" t="s">
        <v>49</v>
      </c>
      <c r="T183" t="s">
        <v>83</v>
      </c>
      <c r="U183" t="s">
        <v>57</v>
      </c>
      <c r="V183" t="s">
        <v>49</v>
      </c>
    </row>
    <row r="184" spans="1:22" x14ac:dyDescent="0.35">
      <c r="A184" t="s">
        <v>316</v>
      </c>
      <c r="B184" t="s">
        <v>240</v>
      </c>
      <c r="C184" t="s">
        <v>61</v>
      </c>
      <c r="D184" t="s">
        <v>62</v>
      </c>
      <c r="E184" t="s">
        <v>63</v>
      </c>
      <c r="F184" t="s">
        <v>57</v>
      </c>
      <c r="G184" t="s">
        <v>68</v>
      </c>
      <c r="H184" t="s">
        <v>99</v>
      </c>
      <c r="I184" t="s">
        <v>52</v>
      </c>
      <c r="J184" t="s">
        <v>53</v>
      </c>
      <c r="K184" t="s">
        <v>49</v>
      </c>
      <c r="L184" t="s">
        <v>77</v>
      </c>
      <c r="M184" t="s">
        <v>71</v>
      </c>
      <c r="N184" t="s">
        <v>72</v>
      </c>
      <c r="O184" t="s">
        <v>49</v>
      </c>
      <c r="P184" t="s">
        <v>105</v>
      </c>
      <c r="Q184" t="s">
        <v>49</v>
      </c>
      <c r="R184" t="s">
        <v>49</v>
      </c>
      <c r="S184" t="s">
        <v>49</v>
      </c>
      <c r="T184" t="s">
        <v>65</v>
      </c>
      <c r="U184" t="s">
        <v>49</v>
      </c>
      <c r="V184" t="s">
        <v>49</v>
      </c>
    </row>
    <row r="185" spans="1:22" x14ac:dyDescent="0.35">
      <c r="A185" t="s">
        <v>317</v>
      </c>
      <c r="B185" t="s">
        <v>240</v>
      </c>
      <c r="C185" t="s">
        <v>45</v>
      </c>
      <c r="D185" t="s">
        <v>47</v>
      </c>
      <c r="E185" t="s">
        <v>63</v>
      </c>
      <c r="F185" t="s">
        <v>49</v>
      </c>
      <c r="G185" t="s">
        <v>64</v>
      </c>
      <c r="H185" t="s">
        <v>99</v>
      </c>
      <c r="I185" t="s">
        <v>52</v>
      </c>
      <c r="J185" t="s">
        <v>53</v>
      </c>
      <c r="K185" t="s">
        <v>49</v>
      </c>
      <c r="L185" t="s">
        <v>54</v>
      </c>
      <c r="M185" t="s">
        <v>71</v>
      </c>
      <c r="N185" t="s">
        <v>72</v>
      </c>
      <c r="O185" t="s">
        <v>57</v>
      </c>
      <c r="P185" t="s">
        <v>105</v>
      </c>
      <c r="Q185" t="s">
        <v>49</v>
      </c>
      <c r="R185" t="s">
        <v>49</v>
      </c>
      <c r="S185" t="s">
        <v>49</v>
      </c>
      <c r="T185" t="s">
        <v>106</v>
      </c>
      <c r="U185" t="s">
        <v>49</v>
      </c>
      <c r="V185" t="s">
        <v>49</v>
      </c>
    </row>
    <row r="186" spans="1:22" x14ac:dyDescent="0.35">
      <c r="A186" t="s">
        <v>318</v>
      </c>
      <c r="B186" t="s">
        <v>240</v>
      </c>
      <c r="C186" t="s">
        <v>61</v>
      </c>
      <c r="D186" t="s">
        <v>62</v>
      </c>
      <c r="E186" t="s">
        <v>63</v>
      </c>
      <c r="F186" t="s">
        <v>57</v>
      </c>
      <c r="G186" t="s">
        <v>68</v>
      </c>
      <c r="H186" t="s">
        <v>99</v>
      </c>
      <c r="I186" t="s">
        <v>52</v>
      </c>
      <c r="J186" t="s">
        <v>53</v>
      </c>
      <c r="K186" t="s">
        <v>49</v>
      </c>
      <c r="L186" t="s">
        <v>54</v>
      </c>
      <c r="M186" t="s">
        <v>71</v>
      </c>
      <c r="N186" t="s">
        <v>72</v>
      </c>
      <c r="O186" t="s">
        <v>57</v>
      </c>
      <c r="P186" t="s">
        <v>58</v>
      </c>
      <c r="Q186" t="s">
        <v>49</v>
      </c>
      <c r="R186" t="s">
        <v>49</v>
      </c>
      <c r="S186" t="s">
        <v>49</v>
      </c>
      <c r="T186" t="s">
        <v>106</v>
      </c>
      <c r="U186" t="s">
        <v>49</v>
      </c>
      <c r="V186" t="s">
        <v>49</v>
      </c>
    </row>
    <row r="187" spans="1:22" x14ac:dyDescent="0.35">
      <c r="A187" t="s">
        <v>319</v>
      </c>
      <c r="B187" t="s">
        <v>240</v>
      </c>
      <c r="C187" t="s">
        <v>45</v>
      </c>
      <c r="D187" t="s">
        <v>47</v>
      </c>
      <c r="E187" t="s">
        <v>63</v>
      </c>
      <c r="F187" t="s">
        <v>49</v>
      </c>
      <c r="G187" t="s">
        <v>64</v>
      </c>
      <c r="H187" t="s">
        <v>75</v>
      </c>
      <c r="I187" t="s">
        <v>52</v>
      </c>
      <c r="J187" t="s">
        <v>53</v>
      </c>
      <c r="K187" t="s">
        <v>49</v>
      </c>
      <c r="L187" t="s">
        <v>54</v>
      </c>
      <c r="M187" t="s">
        <v>110</v>
      </c>
      <c r="N187" t="s">
        <v>72</v>
      </c>
      <c r="O187" t="s">
        <v>49</v>
      </c>
      <c r="P187" t="s">
        <v>105</v>
      </c>
      <c r="Q187" t="s">
        <v>49</v>
      </c>
      <c r="R187" t="s">
        <v>49</v>
      </c>
      <c r="S187" t="s">
        <v>49</v>
      </c>
      <c r="T187" t="s">
        <v>106</v>
      </c>
      <c r="U187" t="s">
        <v>49</v>
      </c>
      <c r="V187" t="s">
        <v>49</v>
      </c>
    </row>
    <row r="188" spans="1:22" x14ac:dyDescent="0.35">
      <c r="A188" t="s">
        <v>320</v>
      </c>
      <c r="B188" t="s">
        <v>240</v>
      </c>
      <c r="C188" t="s">
        <v>45</v>
      </c>
      <c r="D188" t="s">
        <v>47</v>
      </c>
      <c r="E188" t="s">
        <v>63</v>
      </c>
      <c r="F188" t="s">
        <v>57</v>
      </c>
      <c r="G188" t="s">
        <v>102</v>
      </c>
      <c r="H188" t="s">
        <v>85</v>
      </c>
      <c r="I188" t="s">
        <v>52</v>
      </c>
      <c r="J188" t="s">
        <v>53</v>
      </c>
      <c r="K188" t="s">
        <v>57</v>
      </c>
      <c r="L188" t="s">
        <v>53</v>
      </c>
      <c r="M188" t="s">
        <v>96</v>
      </c>
      <c r="N188" t="s">
        <v>78</v>
      </c>
      <c r="O188" t="s">
        <v>57</v>
      </c>
      <c r="P188" t="s">
        <v>66</v>
      </c>
      <c r="Q188" t="s">
        <v>57</v>
      </c>
      <c r="R188" t="s">
        <v>57</v>
      </c>
      <c r="S188" t="s">
        <v>57</v>
      </c>
      <c r="T188" t="s">
        <v>83</v>
      </c>
      <c r="U188" t="s">
        <v>57</v>
      </c>
      <c r="V188" t="s">
        <v>57</v>
      </c>
    </row>
    <row r="189" spans="1:22" x14ac:dyDescent="0.35">
      <c r="A189" t="s">
        <v>321</v>
      </c>
      <c r="B189" t="s">
        <v>240</v>
      </c>
      <c r="C189" t="s">
        <v>61</v>
      </c>
      <c r="D189" t="s">
        <v>62</v>
      </c>
      <c r="E189" t="s">
        <v>63</v>
      </c>
      <c r="F189" t="s">
        <v>57</v>
      </c>
      <c r="G189" t="s">
        <v>68</v>
      </c>
      <c r="H189" t="s">
        <v>51</v>
      </c>
      <c r="I189" t="s">
        <v>52</v>
      </c>
      <c r="J189" t="s">
        <v>76</v>
      </c>
      <c r="K189" t="s">
        <v>57</v>
      </c>
      <c r="L189" t="s">
        <v>82</v>
      </c>
      <c r="M189" t="s">
        <v>96</v>
      </c>
      <c r="N189" t="s">
        <v>78</v>
      </c>
      <c r="O189" t="s">
        <v>57</v>
      </c>
      <c r="P189" t="s">
        <v>58</v>
      </c>
      <c r="Q189" t="s">
        <v>57</v>
      </c>
      <c r="R189" t="s">
        <v>57</v>
      </c>
      <c r="S189" t="s">
        <v>57</v>
      </c>
      <c r="T189" t="s">
        <v>59</v>
      </c>
      <c r="U189" t="s">
        <v>57</v>
      </c>
      <c r="V189" t="s">
        <v>57</v>
      </c>
    </row>
    <row r="190" spans="1:22" x14ac:dyDescent="0.35">
      <c r="A190" t="s">
        <v>322</v>
      </c>
      <c r="B190" t="s">
        <v>240</v>
      </c>
      <c r="C190" t="s">
        <v>45</v>
      </c>
      <c r="D190" t="s">
        <v>47</v>
      </c>
      <c r="E190" t="s">
        <v>63</v>
      </c>
      <c r="F190" t="s">
        <v>57</v>
      </c>
      <c r="G190" t="s">
        <v>102</v>
      </c>
      <c r="H190" t="s">
        <v>51</v>
      </c>
      <c r="I190" t="s">
        <v>52</v>
      </c>
      <c r="J190" t="s">
        <v>87</v>
      </c>
      <c r="K190" t="s">
        <v>57</v>
      </c>
      <c r="L190" t="s">
        <v>87</v>
      </c>
      <c r="M190" t="s">
        <v>96</v>
      </c>
      <c r="N190" t="s">
        <v>56</v>
      </c>
      <c r="O190" t="s">
        <v>57</v>
      </c>
      <c r="P190" t="s">
        <v>58</v>
      </c>
      <c r="Q190" t="s">
        <v>57</v>
      </c>
      <c r="R190" t="s">
        <v>57</v>
      </c>
      <c r="S190" t="s">
        <v>57</v>
      </c>
      <c r="T190" t="s">
        <v>59</v>
      </c>
      <c r="U190" t="s">
        <v>57</v>
      </c>
      <c r="V190" t="s">
        <v>57</v>
      </c>
    </row>
    <row r="191" spans="1:22" x14ac:dyDescent="0.35">
      <c r="A191" t="s">
        <v>323</v>
      </c>
      <c r="B191" t="s">
        <v>240</v>
      </c>
      <c r="C191" t="s">
        <v>61</v>
      </c>
      <c r="D191" t="s">
        <v>47</v>
      </c>
      <c r="E191" t="s">
        <v>63</v>
      </c>
      <c r="F191" t="s">
        <v>57</v>
      </c>
      <c r="G191" t="s">
        <v>50</v>
      </c>
      <c r="H191" t="s">
        <v>85</v>
      </c>
      <c r="I191" t="s">
        <v>136</v>
      </c>
      <c r="J191" t="s">
        <v>100</v>
      </c>
      <c r="K191" t="s">
        <v>57</v>
      </c>
      <c r="L191" t="s">
        <v>70</v>
      </c>
      <c r="M191" t="s">
        <v>65</v>
      </c>
      <c r="N191" t="s">
        <v>78</v>
      </c>
      <c r="O191" t="s">
        <v>57</v>
      </c>
      <c r="P191" t="s">
        <v>58</v>
      </c>
      <c r="Q191" t="s">
        <v>57</v>
      </c>
      <c r="R191" t="s">
        <v>57</v>
      </c>
      <c r="S191" t="s">
        <v>57</v>
      </c>
      <c r="T191" t="s">
        <v>59</v>
      </c>
      <c r="U191" t="s">
        <v>57</v>
      </c>
      <c r="V191" t="s">
        <v>57</v>
      </c>
    </row>
    <row r="192" spans="1:22" x14ac:dyDescent="0.35">
      <c r="A192" t="s">
        <v>324</v>
      </c>
      <c r="B192" t="s">
        <v>240</v>
      </c>
      <c r="C192" t="s">
        <v>45</v>
      </c>
      <c r="D192" t="s">
        <v>257</v>
      </c>
      <c r="E192" t="s">
        <v>63</v>
      </c>
      <c r="F192" t="s">
        <v>57</v>
      </c>
      <c r="G192" t="s">
        <v>102</v>
      </c>
      <c r="H192" t="s">
        <v>85</v>
      </c>
      <c r="I192" t="s">
        <v>52</v>
      </c>
      <c r="J192" t="s">
        <v>53</v>
      </c>
      <c r="K192" t="s">
        <v>57</v>
      </c>
      <c r="L192" t="s">
        <v>53</v>
      </c>
      <c r="M192" t="s">
        <v>96</v>
      </c>
      <c r="N192" t="s">
        <v>56</v>
      </c>
      <c r="O192" t="s">
        <v>57</v>
      </c>
      <c r="P192" t="s">
        <v>58</v>
      </c>
      <c r="Q192" t="s">
        <v>57</v>
      </c>
      <c r="R192" t="s">
        <v>57</v>
      </c>
      <c r="S192" t="s">
        <v>57</v>
      </c>
      <c r="T192" t="s">
        <v>59</v>
      </c>
      <c r="U192" t="s">
        <v>57</v>
      </c>
      <c r="V192" t="s">
        <v>57</v>
      </c>
    </row>
    <row r="193" spans="1:22" x14ac:dyDescent="0.35">
      <c r="A193" t="s">
        <v>325</v>
      </c>
      <c r="B193" t="s">
        <v>240</v>
      </c>
      <c r="C193" t="s">
        <v>45</v>
      </c>
      <c r="D193" t="s">
        <v>62</v>
      </c>
      <c r="E193" t="s">
        <v>63</v>
      </c>
      <c r="F193" t="s">
        <v>57</v>
      </c>
      <c r="G193" t="s">
        <v>68</v>
      </c>
      <c r="H193" t="s">
        <v>75</v>
      </c>
      <c r="I193" t="s">
        <v>52</v>
      </c>
      <c r="J193" t="s">
        <v>76</v>
      </c>
      <c r="K193" t="s">
        <v>57</v>
      </c>
      <c r="L193" t="s">
        <v>82</v>
      </c>
      <c r="M193" t="s">
        <v>96</v>
      </c>
      <c r="N193" t="s">
        <v>78</v>
      </c>
      <c r="O193" t="s">
        <v>57</v>
      </c>
      <c r="P193" t="s">
        <v>66</v>
      </c>
      <c r="Q193" t="s">
        <v>57</v>
      </c>
      <c r="R193" t="s">
        <v>57</v>
      </c>
      <c r="S193" t="s">
        <v>57</v>
      </c>
      <c r="T193" t="s">
        <v>83</v>
      </c>
      <c r="U193" t="s">
        <v>57</v>
      </c>
      <c r="V193" t="s">
        <v>57</v>
      </c>
    </row>
    <row r="194" spans="1:22" x14ac:dyDescent="0.35">
      <c r="A194" t="s">
        <v>326</v>
      </c>
      <c r="B194" t="s">
        <v>240</v>
      </c>
      <c r="C194" t="s">
        <v>61</v>
      </c>
      <c r="D194" t="s">
        <v>47</v>
      </c>
      <c r="E194" t="s">
        <v>63</v>
      </c>
      <c r="F194" t="s">
        <v>57</v>
      </c>
      <c r="G194" t="s">
        <v>64</v>
      </c>
      <c r="H194" t="s">
        <v>85</v>
      </c>
      <c r="I194" t="s">
        <v>81</v>
      </c>
      <c r="J194" t="s">
        <v>76</v>
      </c>
      <c r="K194" t="s">
        <v>57</v>
      </c>
      <c r="L194" t="s">
        <v>82</v>
      </c>
      <c r="M194" t="s">
        <v>96</v>
      </c>
      <c r="N194" t="s">
        <v>65</v>
      </c>
      <c r="O194" t="s">
        <v>57</v>
      </c>
      <c r="P194" t="s">
        <v>66</v>
      </c>
      <c r="Q194" t="s">
        <v>57</v>
      </c>
      <c r="R194" t="s">
        <v>57</v>
      </c>
      <c r="S194" t="s">
        <v>57</v>
      </c>
      <c r="T194" t="s">
        <v>65</v>
      </c>
      <c r="U194" t="s">
        <v>57</v>
      </c>
      <c r="V194" t="s">
        <v>57</v>
      </c>
    </row>
    <row r="195" spans="1:22" x14ac:dyDescent="0.35">
      <c r="A195" t="s">
        <v>327</v>
      </c>
      <c r="B195" t="s">
        <v>240</v>
      </c>
      <c r="C195" t="s">
        <v>45</v>
      </c>
      <c r="D195" t="s">
        <v>47</v>
      </c>
      <c r="E195" t="s">
        <v>63</v>
      </c>
      <c r="F195" t="s">
        <v>57</v>
      </c>
      <c r="G195" t="s">
        <v>102</v>
      </c>
      <c r="H195" t="s">
        <v>85</v>
      </c>
      <c r="I195" t="s">
        <v>52</v>
      </c>
      <c r="J195" t="s">
        <v>53</v>
      </c>
      <c r="K195" t="s">
        <v>57</v>
      </c>
      <c r="L195" t="s">
        <v>53</v>
      </c>
      <c r="M195" t="s">
        <v>55</v>
      </c>
      <c r="N195" t="s">
        <v>56</v>
      </c>
      <c r="O195" t="s">
        <v>57</v>
      </c>
      <c r="P195" t="s">
        <v>58</v>
      </c>
      <c r="Q195" t="s">
        <v>57</v>
      </c>
      <c r="R195" t="s">
        <v>57</v>
      </c>
      <c r="S195" t="s">
        <v>57</v>
      </c>
      <c r="T195" t="s">
        <v>59</v>
      </c>
      <c r="U195" t="s">
        <v>57</v>
      </c>
      <c r="V195" t="s">
        <v>57</v>
      </c>
    </row>
    <row r="196" spans="1:22" x14ac:dyDescent="0.35">
      <c r="A196" t="s">
        <v>328</v>
      </c>
      <c r="B196" t="s">
        <v>240</v>
      </c>
      <c r="C196" t="s">
        <v>45</v>
      </c>
      <c r="D196" t="s">
        <v>47</v>
      </c>
      <c r="E196" t="s">
        <v>63</v>
      </c>
      <c r="F196" t="s">
        <v>57</v>
      </c>
      <c r="G196" t="s">
        <v>50</v>
      </c>
      <c r="H196" t="s">
        <v>51</v>
      </c>
      <c r="I196" t="s">
        <v>52</v>
      </c>
      <c r="J196" t="s">
        <v>76</v>
      </c>
      <c r="K196" t="s">
        <v>57</v>
      </c>
      <c r="L196" t="s">
        <v>82</v>
      </c>
      <c r="M196" t="s">
        <v>55</v>
      </c>
      <c r="N196" t="s">
        <v>56</v>
      </c>
      <c r="O196" t="s">
        <v>57</v>
      </c>
      <c r="P196" t="s">
        <v>58</v>
      </c>
      <c r="Q196" t="s">
        <v>57</v>
      </c>
      <c r="R196" t="s">
        <v>57</v>
      </c>
      <c r="S196" t="s">
        <v>57</v>
      </c>
      <c r="T196" t="s">
        <v>59</v>
      </c>
      <c r="U196" t="s">
        <v>57</v>
      </c>
      <c r="V196" t="s">
        <v>57</v>
      </c>
    </row>
    <row r="197" spans="1:22" x14ac:dyDescent="0.35">
      <c r="A197" t="s">
        <v>329</v>
      </c>
      <c r="B197" t="s">
        <v>240</v>
      </c>
      <c r="C197" t="s">
        <v>45</v>
      </c>
      <c r="D197" t="s">
        <v>47</v>
      </c>
      <c r="E197" t="s">
        <v>120</v>
      </c>
      <c r="F197" t="s">
        <v>57</v>
      </c>
      <c r="G197" t="s">
        <v>50</v>
      </c>
      <c r="H197" t="s">
        <v>95</v>
      </c>
      <c r="I197" t="s">
        <v>52</v>
      </c>
      <c r="J197" t="s">
        <v>87</v>
      </c>
      <c r="K197" t="s">
        <v>57</v>
      </c>
      <c r="L197" t="s">
        <v>87</v>
      </c>
      <c r="M197" t="s">
        <v>55</v>
      </c>
      <c r="N197" t="s">
        <v>56</v>
      </c>
      <c r="O197" t="s">
        <v>57</v>
      </c>
      <c r="P197" t="s">
        <v>58</v>
      </c>
      <c r="Q197" t="s">
        <v>57</v>
      </c>
      <c r="R197" t="s">
        <v>57</v>
      </c>
      <c r="S197" t="s">
        <v>57</v>
      </c>
      <c r="T197" t="s">
        <v>59</v>
      </c>
      <c r="U197" t="s">
        <v>57</v>
      </c>
      <c r="V197" t="s">
        <v>57</v>
      </c>
    </row>
    <row r="198" spans="1:22" x14ac:dyDescent="0.35">
      <c r="A198" t="s">
        <v>330</v>
      </c>
      <c r="B198" t="s">
        <v>240</v>
      </c>
      <c r="C198" t="s">
        <v>61</v>
      </c>
      <c r="D198" t="s">
        <v>62</v>
      </c>
      <c r="E198" t="s">
        <v>80</v>
      </c>
      <c r="F198" t="s">
        <v>57</v>
      </c>
      <c r="G198" t="s">
        <v>50</v>
      </c>
      <c r="H198" t="s">
        <v>95</v>
      </c>
      <c r="I198" t="s">
        <v>52</v>
      </c>
      <c r="J198" t="s">
        <v>53</v>
      </c>
      <c r="K198" t="s">
        <v>57</v>
      </c>
      <c r="L198" t="s">
        <v>225</v>
      </c>
      <c r="M198" t="s">
        <v>55</v>
      </c>
      <c r="N198" t="s">
        <v>56</v>
      </c>
      <c r="O198" t="s">
        <v>57</v>
      </c>
      <c r="P198" t="s">
        <v>58</v>
      </c>
      <c r="Q198" t="s">
        <v>57</v>
      </c>
      <c r="R198" t="s">
        <v>57</v>
      </c>
      <c r="S198" t="s">
        <v>57</v>
      </c>
      <c r="T198" t="s">
        <v>59</v>
      </c>
      <c r="U198" t="s">
        <v>57</v>
      </c>
      <c r="V198" t="s">
        <v>57</v>
      </c>
    </row>
    <row r="199" spans="1:22" x14ac:dyDescent="0.35">
      <c r="A199" t="s">
        <v>331</v>
      </c>
      <c r="B199" t="s">
        <v>240</v>
      </c>
      <c r="C199" t="s">
        <v>61</v>
      </c>
      <c r="D199" t="s">
        <v>62</v>
      </c>
      <c r="E199" t="s">
        <v>63</v>
      </c>
      <c r="F199" t="s">
        <v>57</v>
      </c>
      <c r="G199" t="s">
        <v>50</v>
      </c>
      <c r="H199" t="s">
        <v>51</v>
      </c>
      <c r="I199" t="s">
        <v>69</v>
      </c>
      <c r="J199" t="s">
        <v>76</v>
      </c>
      <c r="K199" t="s">
        <v>57</v>
      </c>
      <c r="L199" t="s">
        <v>70</v>
      </c>
      <c r="M199" t="s">
        <v>55</v>
      </c>
      <c r="N199" t="s">
        <v>56</v>
      </c>
      <c r="O199" t="s">
        <v>57</v>
      </c>
      <c r="P199" t="s">
        <v>58</v>
      </c>
      <c r="Q199" t="s">
        <v>57</v>
      </c>
      <c r="R199" t="s">
        <v>57</v>
      </c>
      <c r="S199" t="s">
        <v>57</v>
      </c>
      <c r="T199" t="s">
        <v>59</v>
      </c>
      <c r="U199" t="s">
        <v>57</v>
      </c>
      <c r="V199" t="s">
        <v>57</v>
      </c>
    </row>
    <row r="200" spans="1:22" x14ac:dyDescent="0.35">
      <c r="A200" t="s">
        <v>332</v>
      </c>
      <c r="B200" t="s">
        <v>240</v>
      </c>
      <c r="C200" t="s">
        <v>61</v>
      </c>
      <c r="D200" t="s">
        <v>62</v>
      </c>
      <c r="E200" t="s">
        <v>63</v>
      </c>
      <c r="F200" t="s">
        <v>57</v>
      </c>
      <c r="G200" t="s">
        <v>50</v>
      </c>
      <c r="H200" t="s">
        <v>51</v>
      </c>
      <c r="I200" t="s">
        <v>52</v>
      </c>
      <c r="J200" t="s">
        <v>76</v>
      </c>
      <c r="K200" t="s">
        <v>57</v>
      </c>
      <c r="L200" t="s">
        <v>82</v>
      </c>
      <c r="M200" t="s">
        <v>55</v>
      </c>
      <c r="N200" t="s">
        <v>56</v>
      </c>
      <c r="O200" t="s">
        <v>57</v>
      </c>
      <c r="P200" t="s">
        <v>58</v>
      </c>
      <c r="Q200" t="s">
        <v>57</v>
      </c>
      <c r="R200" t="s">
        <v>57</v>
      </c>
      <c r="S200" t="s">
        <v>57</v>
      </c>
      <c r="T200" t="s">
        <v>59</v>
      </c>
      <c r="U200" t="s">
        <v>57</v>
      </c>
      <c r="V200" t="s">
        <v>57</v>
      </c>
    </row>
    <row r="201" spans="1:22" x14ac:dyDescent="0.35">
      <c r="A201" t="s">
        <v>333</v>
      </c>
      <c r="B201" t="s">
        <v>240</v>
      </c>
      <c r="C201" t="s">
        <v>61</v>
      </c>
      <c r="D201" t="s">
        <v>62</v>
      </c>
      <c r="E201" t="s">
        <v>63</v>
      </c>
      <c r="F201" t="s">
        <v>57</v>
      </c>
      <c r="G201" t="s">
        <v>50</v>
      </c>
      <c r="H201" t="s">
        <v>51</v>
      </c>
      <c r="I201" t="s">
        <v>69</v>
      </c>
      <c r="J201" t="s">
        <v>77</v>
      </c>
      <c r="K201" t="s">
        <v>57</v>
      </c>
      <c r="L201" t="s">
        <v>77</v>
      </c>
      <c r="M201" t="s">
        <v>55</v>
      </c>
      <c r="N201" t="s">
        <v>56</v>
      </c>
      <c r="O201" t="s">
        <v>57</v>
      </c>
      <c r="P201" t="s">
        <v>58</v>
      </c>
      <c r="Q201" t="s">
        <v>57</v>
      </c>
      <c r="R201" t="s">
        <v>57</v>
      </c>
      <c r="S201" t="s">
        <v>57</v>
      </c>
      <c r="T201" t="s">
        <v>59</v>
      </c>
      <c r="U201" t="s">
        <v>57</v>
      </c>
      <c r="V201" t="s">
        <v>57</v>
      </c>
    </row>
    <row r="202" spans="1:22" x14ac:dyDescent="0.35">
      <c r="A202" t="s">
        <v>334</v>
      </c>
      <c r="B202" t="s">
        <v>240</v>
      </c>
      <c r="C202" t="s">
        <v>45</v>
      </c>
      <c r="D202" t="s">
        <v>47</v>
      </c>
      <c r="E202" t="s">
        <v>48</v>
      </c>
      <c r="F202" t="s">
        <v>49</v>
      </c>
      <c r="G202" t="s">
        <v>68</v>
      </c>
      <c r="H202" t="s">
        <v>92</v>
      </c>
      <c r="I202" t="s">
        <v>52</v>
      </c>
      <c r="J202" t="s">
        <v>87</v>
      </c>
      <c r="K202" t="s">
        <v>49</v>
      </c>
      <c r="L202" t="s">
        <v>54</v>
      </c>
      <c r="M202" t="s">
        <v>71</v>
      </c>
      <c r="N202" t="s">
        <v>65</v>
      </c>
      <c r="O202" t="s">
        <v>57</v>
      </c>
      <c r="P202" t="s">
        <v>66</v>
      </c>
      <c r="Q202" t="s">
        <v>57</v>
      </c>
      <c r="R202" t="s">
        <v>88</v>
      </c>
      <c r="S202" t="s">
        <v>49</v>
      </c>
      <c r="T202" t="s">
        <v>83</v>
      </c>
      <c r="U202" t="s">
        <v>57</v>
      </c>
      <c r="V202" t="s">
        <v>57</v>
      </c>
    </row>
    <row r="203" spans="1:22" x14ac:dyDescent="0.35">
      <c r="A203" t="s">
        <v>335</v>
      </c>
      <c r="B203" t="s">
        <v>240</v>
      </c>
      <c r="C203" t="s">
        <v>45</v>
      </c>
      <c r="D203" t="s">
        <v>47</v>
      </c>
      <c r="E203" t="s">
        <v>48</v>
      </c>
      <c r="F203" t="s">
        <v>49</v>
      </c>
      <c r="G203" t="s">
        <v>68</v>
      </c>
      <c r="H203" t="s">
        <v>92</v>
      </c>
      <c r="I203" t="s">
        <v>52</v>
      </c>
      <c r="J203" t="s">
        <v>87</v>
      </c>
      <c r="K203" t="s">
        <v>49</v>
      </c>
      <c r="L203" t="s">
        <v>54</v>
      </c>
      <c r="M203" t="s">
        <v>65</v>
      </c>
      <c r="N203" t="s">
        <v>78</v>
      </c>
      <c r="O203" t="s">
        <v>57</v>
      </c>
      <c r="P203" t="s">
        <v>66</v>
      </c>
      <c r="Q203" t="s">
        <v>57</v>
      </c>
      <c r="R203" t="s">
        <v>57</v>
      </c>
      <c r="S203" t="s">
        <v>49</v>
      </c>
      <c r="T203" t="s">
        <v>83</v>
      </c>
      <c r="U203" t="s">
        <v>57</v>
      </c>
      <c r="V203" t="s">
        <v>49</v>
      </c>
    </row>
    <row r="204" spans="1:22" x14ac:dyDescent="0.35">
      <c r="A204" t="s">
        <v>336</v>
      </c>
      <c r="B204" t="s">
        <v>240</v>
      </c>
      <c r="C204" t="s">
        <v>45</v>
      </c>
      <c r="D204" t="s">
        <v>47</v>
      </c>
      <c r="E204" t="s">
        <v>48</v>
      </c>
      <c r="F204" t="s">
        <v>57</v>
      </c>
      <c r="G204" t="s">
        <v>68</v>
      </c>
      <c r="H204" t="s">
        <v>92</v>
      </c>
      <c r="I204" t="s">
        <v>52</v>
      </c>
      <c r="J204" t="s">
        <v>87</v>
      </c>
      <c r="K204" t="s">
        <v>49</v>
      </c>
      <c r="L204" t="s">
        <v>54</v>
      </c>
      <c r="M204" t="s">
        <v>65</v>
      </c>
      <c r="N204" t="s">
        <v>78</v>
      </c>
      <c r="O204" t="s">
        <v>57</v>
      </c>
      <c r="P204" t="s">
        <v>66</v>
      </c>
      <c r="Q204" t="s">
        <v>57</v>
      </c>
      <c r="R204" t="s">
        <v>57</v>
      </c>
      <c r="S204" t="s">
        <v>49</v>
      </c>
      <c r="T204" t="s">
        <v>83</v>
      </c>
      <c r="U204" t="s">
        <v>57</v>
      </c>
      <c r="V204" t="s">
        <v>49</v>
      </c>
    </row>
    <row r="205" spans="1:22" x14ac:dyDescent="0.35">
      <c r="A205" t="s">
        <v>337</v>
      </c>
      <c r="B205" t="s">
        <v>240</v>
      </c>
      <c r="C205" t="s">
        <v>45</v>
      </c>
      <c r="D205" t="s">
        <v>47</v>
      </c>
      <c r="E205" t="s">
        <v>63</v>
      </c>
      <c r="F205" t="s">
        <v>49</v>
      </c>
      <c r="G205" t="s">
        <v>102</v>
      </c>
      <c r="H205" t="s">
        <v>51</v>
      </c>
      <c r="I205" t="s">
        <v>52</v>
      </c>
      <c r="J205" t="s">
        <v>53</v>
      </c>
      <c r="K205" t="s">
        <v>49</v>
      </c>
      <c r="L205" t="s">
        <v>53</v>
      </c>
      <c r="M205" t="s">
        <v>96</v>
      </c>
      <c r="N205" t="s">
        <v>65</v>
      </c>
      <c r="O205" t="s">
        <v>57</v>
      </c>
      <c r="P205" t="s">
        <v>66</v>
      </c>
      <c r="Q205" t="s">
        <v>57</v>
      </c>
      <c r="R205" t="s">
        <v>49</v>
      </c>
      <c r="S205" t="s">
        <v>49</v>
      </c>
      <c r="T205" t="s">
        <v>83</v>
      </c>
      <c r="U205" t="s">
        <v>57</v>
      </c>
      <c r="V205"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DFC4-3B14-48D4-B635-45E211CBC207}">
  <dimension ref="A1:T207"/>
  <sheetViews>
    <sheetView topLeftCell="A2" zoomScale="63" zoomScaleNormal="63" zoomScaleSheetLayoutView="50" workbookViewId="0">
      <selection activeCell="J24" sqref="J24"/>
    </sheetView>
  </sheetViews>
  <sheetFormatPr defaultRowHeight="14.5" x14ac:dyDescent="0.35"/>
  <cols>
    <col min="1" max="1" width="14.6328125" bestFit="1" customWidth="1"/>
    <col min="2" max="2" width="12" bestFit="1" customWidth="1"/>
    <col min="3" max="3" width="8.453125" bestFit="1" customWidth="1"/>
    <col min="4" max="4" width="33.36328125" bestFit="1" customWidth="1"/>
    <col min="5" max="5" width="9.08984375" bestFit="1" customWidth="1"/>
    <col min="6" max="6" width="45.81640625" bestFit="1" customWidth="1"/>
    <col min="7" max="7" width="29" bestFit="1" customWidth="1"/>
    <col min="8" max="8" width="9.54296875" bestFit="1" customWidth="1"/>
    <col min="9" max="9" width="6.81640625" bestFit="1" customWidth="1"/>
    <col min="10" max="10" width="20.6328125" bestFit="1" customWidth="1"/>
    <col min="11" max="11" width="12.54296875" bestFit="1" customWidth="1"/>
    <col min="12" max="12" width="13.7265625" bestFit="1" customWidth="1"/>
    <col min="13" max="13" width="7.90625" bestFit="1" customWidth="1"/>
    <col min="14" max="14" width="17.54296875" bestFit="1" customWidth="1"/>
    <col min="15" max="16" width="7.90625" bestFit="1" customWidth="1"/>
    <col min="17" max="17" width="3.6328125" bestFit="1" customWidth="1"/>
    <col min="18" max="18" width="17.1796875" bestFit="1" customWidth="1"/>
    <col min="19" max="19" width="7.90625" bestFit="1" customWidth="1"/>
    <col min="20" max="20" width="38.08984375" bestFit="1" customWidth="1"/>
    <col min="21" max="21" width="58.36328125" bestFit="1" customWidth="1"/>
  </cols>
  <sheetData>
    <row r="1" spans="1:20" x14ac:dyDescent="0.35">
      <c r="A1" t="s">
        <v>338</v>
      </c>
      <c r="B1" t="s">
        <v>339</v>
      </c>
      <c r="C1" t="s">
        <v>340</v>
      </c>
      <c r="D1" t="s">
        <v>341</v>
      </c>
      <c r="E1" t="s">
        <v>342</v>
      </c>
      <c r="F1" t="s">
        <v>343</v>
      </c>
      <c r="G1" t="s">
        <v>344</v>
      </c>
      <c r="H1" t="s">
        <v>382</v>
      </c>
      <c r="I1" t="s">
        <v>345</v>
      </c>
      <c r="J1" t="s">
        <v>346</v>
      </c>
      <c r="K1" t="s">
        <v>347</v>
      </c>
      <c r="L1" t="s">
        <v>348</v>
      </c>
      <c r="M1" t="s">
        <v>349</v>
      </c>
      <c r="N1" t="s">
        <v>350</v>
      </c>
      <c r="O1" t="s">
        <v>351</v>
      </c>
      <c r="P1" t="s">
        <v>352</v>
      </c>
      <c r="Q1" t="s">
        <v>353</v>
      </c>
      <c r="R1" t="s">
        <v>354</v>
      </c>
      <c r="S1" t="s">
        <v>355</v>
      </c>
      <c r="T1" t="s">
        <v>356</v>
      </c>
    </row>
    <row r="2" spans="1:20" x14ac:dyDescent="0.35">
      <c r="A2" t="s">
        <v>45</v>
      </c>
      <c r="B2" t="s">
        <v>47</v>
      </c>
      <c r="C2" t="s">
        <v>48</v>
      </c>
      <c r="D2" t="s">
        <v>49</v>
      </c>
      <c r="E2" t="s">
        <v>50</v>
      </c>
      <c r="F2" t="s">
        <v>51</v>
      </c>
      <c r="G2" t="s">
        <v>52</v>
      </c>
      <c r="H2" t="s">
        <v>53</v>
      </c>
      <c r="I2" t="s">
        <v>49</v>
      </c>
      <c r="J2" t="s">
        <v>54</v>
      </c>
      <c r="K2" t="s">
        <v>55</v>
      </c>
      <c r="L2" t="s">
        <v>56</v>
      </c>
      <c r="M2" t="s">
        <v>57</v>
      </c>
      <c r="N2" t="s">
        <v>58</v>
      </c>
      <c r="O2" t="s">
        <v>57</v>
      </c>
      <c r="P2" t="s">
        <v>57</v>
      </c>
      <c r="Q2" t="s">
        <v>49</v>
      </c>
      <c r="R2" t="s">
        <v>59</v>
      </c>
      <c r="S2" t="s">
        <v>57</v>
      </c>
      <c r="T2" t="s">
        <v>57</v>
      </c>
    </row>
    <row r="3" spans="1:20" x14ac:dyDescent="0.35">
      <c r="A3" t="s">
        <v>61</v>
      </c>
      <c r="B3" t="s">
        <v>62</v>
      </c>
      <c r="C3" t="s">
        <v>63</v>
      </c>
      <c r="D3" t="s">
        <v>57</v>
      </c>
      <c r="E3" t="s">
        <v>64</v>
      </c>
      <c r="F3" t="s">
        <v>51</v>
      </c>
      <c r="G3" t="s">
        <v>52</v>
      </c>
      <c r="H3" t="s">
        <v>53</v>
      </c>
      <c r="I3" t="s">
        <v>49</v>
      </c>
      <c r="J3" t="s">
        <v>53</v>
      </c>
      <c r="K3" t="s">
        <v>65</v>
      </c>
      <c r="L3" t="s">
        <v>56</v>
      </c>
      <c r="M3" t="s">
        <v>57</v>
      </c>
      <c r="N3" t="s">
        <v>66</v>
      </c>
      <c r="O3" t="s">
        <v>57</v>
      </c>
      <c r="P3" t="s">
        <v>57</v>
      </c>
      <c r="Q3" t="s">
        <v>57</v>
      </c>
      <c r="R3" t="s">
        <v>59</v>
      </c>
      <c r="S3" t="s">
        <v>57</v>
      </c>
      <c r="T3" t="s">
        <v>57</v>
      </c>
    </row>
    <row r="4" spans="1:20" x14ac:dyDescent="0.35">
      <c r="A4" t="s">
        <v>45</v>
      </c>
      <c r="B4" t="s">
        <v>47</v>
      </c>
      <c r="C4" t="s">
        <v>48</v>
      </c>
      <c r="D4" t="s">
        <v>57</v>
      </c>
      <c r="E4" t="s">
        <v>68</v>
      </c>
      <c r="F4" t="s">
        <v>51</v>
      </c>
      <c r="G4" t="s">
        <v>69</v>
      </c>
      <c r="H4" t="s">
        <v>53</v>
      </c>
      <c r="I4" t="s">
        <v>57</v>
      </c>
      <c r="J4" t="s">
        <v>70</v>
      </c>
      <c r="K4" t="s">
        <v>71</v>
      </c>
      <c r="L4" t="s">
        <v>72</v>
      </c>
      <c r="M4" t="s">
        <v>57</v>
      </c>
      <c r="N4" t="s">
        <v>66</v>
      </c>
      <c r="O4" t="s">
        <v>57</v>
      </c>
      <c r="P4" t="s">
        <v>49</v>
      </c>
      <c r="Q4" t="s">
        <v>49</v>
      </c>
      <c r="R4" t="s">
        <v>65</v>
      </c>
      <c r="S4" t="s">
        <v>57</v>
      </c>
      <c r="T4" t="s">
        <v>49</v>
      </c>
    </row>
    <row r="5" spans="1:20" x14ac:dyDescent="0.35">
      <c r="A5" t="s">
        <v>61</v>
      </c>
      <c r="B5" t="s">
        <v>47</v>
      </c>
      <c r="C5" t="s">
        <v>385</v>
      </c>
      <c r="D5" t="s">
        <v>57</v>
      </c>
      <c r="E5" t="s">
        <v>64</v>
      </c>
      <c r="F5" t="s">
        <v>357</v>
      </c>
      <c r="G5" t="s">
        <v>52</v>
      </c>
      <c r="H5" t="s">
        <v>76</v>
      </c>
      <c r="I5" t="s">
        <v>49</v>
      </c>
      <c r="J5" t="s">
        <v>77</v>
      </c>
      <c r="K5" t="s">
        <v>71</v>
      </c>
      <c r="L5" t="s">
        <v>78</v>
      </c>
      <c r="M5" t="s">
        <v>57</v>
      </c>
      <c r="N5" t="s">
        <v>58</v>
      </c>
      <c r="O5" t="s">
        <v>57</v>
      </c>
      <c r="P5" t="s">
        <v>49</v>
      </c>
      <c r="Q5" t="s">
        <v>49</v>
      </c>
      <c r="R5" t="s">
        <v>65</v>
      </c>
      <c r="S5" t="s">
        <v>57</v>
      </c>
      <c r="T5" t="s">
        <v>49</v>
      </c>
    </row>
    <row r="6" spans="1:20" x14ac:dyDescent="0.35">
      <c r="A6" t="s">
        <v>45</v>
      </c>
      <c r="B6" t="s">
        <v>47</v>
      </c>
      <c r="C6" t="s">
        <v>80</v>
      </c>
      <c r="D6" t="s">
        <v>49</v>
      </c>
      <c r="E6" t="s">
        <v>64</v>
      </c>
      <c r="F6" t="s">
        <v>51</v>
      </c>
      <c r="G6" t="s">
        <v>81</v>
      </c>
      <c r="H6" t="s">
        <v>53</v>
      </c>
      <c r="I6" t="s">
        <v>49</v>
      </c>
      <c r="J6" t="s">
        <v>82</v>
      </c>
      <c r="K6" t="s">
        <v>65</v>
      </c>
      <c r="L6" t="s">
        <v>56</v>
      </c>
      <c r="M6" t="s">
        <v>57</v>
      </c>
      <c r="N6" t="s">
        <v>58</v>
      </c>
      <c r="O6" t="s">
        <v>57</v>
      </c>
      <c r="P6" t="s">
        <v>49</v>
      </c>
      <c r="Q6" t="s">
        <v>49</v>
      </c>
      <c r="R6" t="s">
        <v>83</v>
      </c>
      <c r="S6" t="s">
        <v>57</v>
      </c>
      <c r="T6" t="s">
        <v>49</v>
      </c>
    </row>
    <row r="7" spans="1:20" x14ac:dyDescent="0.35">
      <c r="A7" t="s">
        <v>45</v>
      </c>
      <c r="B7" t="s">
        <v>47</v>
      </c>
      <c r="C7" t="s">
        <v>385</v>
      </c>
      <c r="D7" t="s">
        <v>57</v>
      </c>
      <c r="E7" t="s">
        <v>68</v>
      </c>
      <c r="F7" t="s">
        <v>85</v>
      </c>
      <c r="G7" t="s">
        <v>86</v>
      </c>
      <c r="H7" t="s">
        <v>87</v>
      </c>
      <c r="I7" t="s">
        <v>57</v>
      </c>
      <c r="J7" t="s">
        <v>87</v>
      </c>
      <c r="K7" t="s">
        <v>55</v>
      </c>
      <c r="L7" t="s">
        <v>56</v>
      </c>
      <c r="M7" t="s">
        <v>57</v>
      </c>
      <c r="N7" t="s">
        <v>66</v>
      </c>
      <c r="O7" t="s">
        <v>88</v>
      </c>
      <c r="P7" t="s">
        <v>57</v>
      </c>
      <c r="Q7" t="s">
        <v>49</v>
      </c>
      <c r="R7" t="s">
        <v>59</v>
      </c>
      <c r="S7" t="s">
        <v>57</v>
      </c>
      <c r="T7" t="s">
        <v>57</v>
      </c>
    </row>
    <row r="8" spans="1:20" x14ac:dyDescent="0.35">
      <c r="A8" t="s">
        <v>45</v>
      </c>
      <c r="B8" t="s">
        <v>62</v>
      </c>
      <c r="C8" t="s">
        <v>63</v>
      </c>
      <c r="D8" t="s">
        <v>57</v>
      </c>
      <c r="E8" t="s">
        <v>68</v>
      </c>
      <c r="F8" t="s">
        <v>85</v>
      </c>
      <c r="G8" t="s">
        <v>81</v>
      </c>
      <c r="H8" t="s">
        <v>53</v>
      </c>
      <c r="I8" t="s">
        <v>57</v>
      </c>
      <c r="J8" t="s">
        <v>70</v>
      </c>
      <c r="K8" t="s">
        <v>65</v>
      </c>
      <c r="L8" t="s">
        <v>65</v>
      </c>
      <c r="M8" t="s">
        <v>57</v>
      </c>
      <c r="N8" t="s">
        <v>66</v>
      </c>
      <c r="O8" t="s">
        <v>57</v>
      </c>
      <c r="P8" t="s">
        <v>57</v>
      </c>
      <c r="Q8" t="s">
        <v>57</v>
      </c>
      <c r="R8" t="s">
        <v>59</v>
      </c>
      <c r="S8" t="s">
        <v>57</v>
      </c>
      <c r="T8" t="s">
        <v>57</v>
      </c>
    </row>
    <row r="9" spans="1:20" x14ac:dyDescent="0.35">
      <c r="A9" t="s">
        <v>61</v>
      </c>
      <c r="B9" t="s">
        <v>47</v>
      </c>
      <c r="C9" t="s">
        <v>63</v>
      </c>
      <c r="D9" t="s">
        <v>49</v>
      </c>
      <c r="E9" t="s">
        <v>64</v>
      </c>
      <c r="F9" t="s">
        <v>357</v>
      </c>
      <c r="G9" t="s">
        <v>52</v>
      </c>
      <c r="H9" t="s">
        <v>76</v>
      </c>
      <c r="I9" t="s">
        <v>49</v>
      </c>
      <c r="J9" t="s">
        <v>54</v>
      </c>
      <c r="K9" t="s">
        <v>71</v>
      </c>
      <c r="L9" t="s">
        <v>65</v>
      </c>
      <c r="M9" t="s">
        <v>88</v>
      </c>
      <c r="N9" t="s">
        <v>65</v>
      </c>
      <c r="O9" t="s">
        <v>57</v>
      </c>
      <c r="P9" t="s">
        <v>49</v>
      </c>
      <c r="Q9" t="s">
        <v>49</v>
      </c>
      <c r="R9" t="s">
        <v>65</v>
      </c>
      <c r="S9" t="s">
        <v>88</v>
      </c>
      <c r="T9" t="s">
        <v>49</v>
      </c>
    </row>
    <row r="10" spans="1:20" x14ac:dyDescent="0.35">
      <c r="A10" t="s">
        <v>45</v>
      </c>
      <c r="B10" t="s">
        <v>47</v>
      </c>
      <c r="C10" t="s">
        <v>385</v>
      </c>
      <c r="D10" t="s">
        <v>57</v>
      </c>
      <c r="E10" t="s">
        <v>68</v>
      </c>
      <c r="F10" t="s">
        <v>92</v>
      </c>
      <c r="G10" t="s">
        <v>86</v>
      </c>
      <c r="H10" t="s">
        <v>53</v>
      </c>
      <c r="I10" t="s">
        <v>57</v>
      </c>
      <c r="J10" t="s">
        <v>87</v>
      </c>
      <c r="K10" t="s">
        <v>65</v>
      </c>
      <c r="L10" t="s">
        <v>65</v>
      </c>
      <c r="M10" t="s">
        <v>57</v>
      </c>
      <c r="N10" t="s">
        <v>65</v>
      </c>
      <c r="O10" t="s">
        <v>57</v>
      </c>
      <c r="P10" t="s">
        <v>57</v>
      </c>
      <c r="Q10" t="s">
        <v>57</v>
      </c>
      <c r="R10" t="s">
        <v>65</v>
      </c>
      <c r="S10" t="s">
        <v>57</v>
      </c>
      <c r="T10" t="s">
        <v>57</v>
      </c>
    </row>
    <row r="11" spans="1:20" x14ac:dyDescent="0.35">
      <c r="A11" t="s">
        <v>45</v>
      </c>
      <c r="B11" t="s">
        <v>94</v>
      </c>
      <c r="C11" t="s">
        <v>48</v>
      </c>
      <c r="D11" t="s">
        <v>57</v>
      </c>
      <c r="E11" t="s">
        <v>68</v>
      </c>
      <c r="F11" t="s">
        <v>95</v>
      </c>
      <c r="G11" t="s">
        <v>52</v>
      </c>
      <c r="H11" t="s">
        <v>87</v>
      </c>
      <c r="I11" t="s">
        <v>57</v>
      </c>
      <c r="J11" t="s">
        <v>70</v>
      </c>
      <c r="K11" t="s">
        <v>96</v>
      </c>
      <c r="L11" t="s">
        <v>72</v>
      </c>
      <c r="M11" t="s">
        <v>88</v>
      </c>
      <c r="N11" t="s">
        <v>65</v>
      </c>
      <c r="O11" t="s">
        <v>57</v>
      </c>
      <c r="P11" t="s">
        <v>49</v>
      </c>
      <c r="Q11" t="s">
        <v>49</v>
      </c>
      <c r="R11" t="s">
        <v>65</v>
      </c>
      <c r="S11" t="s">
        <v>57</v>
      </c>
      <c r="T11" t="s">
        <v>57</v>
      </c>
    </row>
    <row r="12" spans="1:20" x14ac:dyDescent="0.35">
      <c r="A12" t="s">
        <v>45</v>
      </c>
      <c r="B12" t="s">
        <v>47</v>
      </c>
      <c r="C12" t="s">
        <v>385</v>
      </c>
      <c r="D12" t="s">
        <v>57</v>
      </c>
      <c r="E12" t="s">
        <v>68</v>
      </c>
      <c r="F12" t="s">
        <v>99</v>
      </c>
      <c r="G12" t="s">
        <v>52</v>
      </c>
      <c r="H12" t="s">
        <v>100</v>
      </c>
      <c r="I12" t="s">
        <v>57</v>
      </c>
      <c r="J12" t="s">
        <v>70</v>
      </c>
      <c r="K12" t="s">
        <v>65</v>
      </c>
      <c r="L12" t="s">
        <v>78</v>
      </c>
      <c r="M12" t="s">
        <v>57</v>
      </c>
      <c r="N12" t="s">
        <v>65</v>
      </c>
      <c r="O12" t="s">
        <v>57</v>
      </c>
      <c r="P12" t="s">
        <v>57</v>
      </c>
      <c r="Q12" t="s">
        <v>49</v>
      </c>
      <c r="R12" t="s">
        <v>65</v>
      </c>
      <c r="S12" t="s">
        <v>57</v>
      </c>
      <c r="T12" t="s">
        <v>57</v>
      </c>
    </row>
    <row r="13" spans="1:20" x14ac:dyDescent="0.35">
      <c r="A13" t="s">
        <v>45</v>
      </c>
      <c r="B13" t="s">
        <v>47</v>
      </c>
      <c r="C13" t="s">
        <v>80</v>
      </c>
      <c r="D13" t="s">
        <v>49</v>
      </c>
      <c r="E13" t="s">
        <v>102</v>
      </c>
      <c r="F13" t="s">
        <v>85</v>
      </c>
      <c r="G13" t="s">
        <v>52</v>
      </c>
      <c r="H13" t="s">
        <v>53</v>
      </c>
      <c r="I13" t="s">
        <v>57</v>
      </c>
      <c r="J13" t="s">
        <v>53</v>
      </c>
      <c r="K13" t="s">
        <v>55</v>
      </c>
      <c r="L13" t="s">
        <v>56</v>
      </c>
      <c r="M13" t="s">
        <v>57</v>
      </c>
      <c r="N13" t="s">
        <v>58</v>
      </c>
      <c r="O13" t="s">
        <v>57</v>
      </c>
      <c r="P13" t="s">
        <v>57</v>
      </c>
      <c r="Q13" t="s">
        <v>49</v>
      </c>
      <c r="R13" t="s">
        <v>59</v>
      </c>
      <c r="S13" t="s">
        <v>57</v>
      </c>
      <c r="T13" t="s">
        <v>57</v>
      </c>
    </row>
    <row r="14" spans="1:20" x14ac:dyDescent="0.35">
      <c r="A14" t="s">
        <v>45</v>
      </c>
      <c r="B14" t="s">
        <v>104</v>
      </c>
      <c r="C14" t="s">
        <v>63</v>
      </c>
      <c r="D14" t="s">
        <v>57</v>
      </c>
      <c r="E14" t="s">
        <v>68</v>
      </c>
      <c r="F14" t="s">
        <v>92</v>
      </c>
      <c r="G14" t="s">
        <v>81</v>
      </c>
      <c r="H14" t="s">
        <v>53</v>
      </c>
      <c r="I14" t="s">
        <v>49</v>
      </c>
      <c r="J14" t="s">
        <v>54</v>
      </c>
      <c r="K14" t="s">
        <v>65</v>
      </c>
      <c r="L14" t="s">
        <v>72</v>
      </c>
      <c r="M14" t="s">
        <v>88</v>
      </c>
      <c r="N14" t="s">
        <v>105</v>
      </c>
      <c r="O14" t="s">
        <v>57</v>
      </c>
      <c r="P14" t="s">
        <v>49</v>
      </c>
      <c r="Q14" t="s">
        <v>57</v>
      </c>
      <c r="R14" t="s">
        <v>106</v>
      </c>
      <c r="S14" t="s">
        <v>57</v>
      </c>
      <c r="T14" t="s">
        <v>49</v>
      </c>
    </row>
    <row r="15" spans="1:20" x14ac:dyDescent="0.35">
      <c r="A15" t="s">
        <v>61</v>
      </c>
      <c r="B15" t="s">
        <v>47</v>
      </c>
      <c r="C15" t="s">
        <v>80</v>
      </c>
      <c r="D15" t="s">
        <v>57</v>
      </c>
      <c r="E15" t="s">
        <v>50</v>
      </c>
      <c r="F15" t="s">
        <v>85</v>
      </c>
      <c r="G15" t="s">
        <v>52</v>
      </c>
      <c r="H15" t="s">
        <v>77</v>
      </c>
      <c r="I15" t="s">
        <v>57</v>
      </c>
      <c r="J15" t="s">
        <v>82</v>
      </c>
      <c r="K15" t="s">
        <v>96</v>
      </c>
      <c r="L15" t="s">
        <v>78</v>
      </c>
      <c r="M15" t="s">
        <v>49</v>
      </c>
      <c r="N15" t="s">
        <v>66</v>
      </c>
      <c r="O15" t="s">
        <v>49</v>
      </c>
      <c r="P15" t="s">
        <v>57</v>
      </c>
      <c r="Q15" t="s">
        <v>57</v>
      </c>
      <c r="R15" t="s">
        <v>83</v>
      </c>
      <c r="S15" t="s">
        <v>49</v>
      </c>
      <c r="T15" t="s">
        <v>57</v>
      </c>
    </row>
    <row r="16" spans="1:20" x14ac:dyDescent="0.35">
      <c r="A16" t="s">
        <v>61</v>
      </c>
      <c r="B16" t="s">
        <v>62</v>
      </c>
      <c r="C16" t="s">
        <v>385</v>
      </c>
      <c r="D16" t="s">
        <v>49</v>
      </c>
      <c r="E16" t="s">
        <v>109</v>
      </c>
      <c r="F16" t="s">
        <v>357</v>
      </c>
      <c r="G16" t="s">
        <v>81</v>
      </c>
      <c r="H16" t="s">
        <v>53</v>
      </c>
      <c r="I16" t="s">
        <v>49</v>
      </c>
      <c r="J16" t="s">
        <v>54</v>
      </c>
      <c r="K16" t="s">
        <v>110</v>
      </c>
      <c r="L16" t="s">
        <v>111</v>
      </c>
      <c r="M16" t="s">
        <v>88</v>
      </c>
      <c r="N16" t="s">
        <v>65</v>
      </c>
      <c r="O16" t="s">
        <v>57</v>
      </c>
      <c r="P16" t="s">
        <v>49</v>
      </c>
      <c r="Q16" t="s">
        <v>49</v>
      </c>
      <c r="R16" t="s">
        <v>83</v>
      </c>
      <c r="S16" t="s">
        <v>57</v>
      </c>
      <c r="T16" t="s">
        <v>49</v>
      </c>
    </row>
    <row r="17" spans="1:20" x14ac:dyDescent="0.35">
      <c r="A17" t="s">
        <v>45</v>
      </c>
      <c r="B17" t="s">
        <v>47</v>
      </c>
      <c r="C17" t="s">
        <v>385</v>
      </c>
      <c r="D17" t="s">
        <v>49</v>
      </c>
      <c r="E17" t="s">
        <v>68</v>
      </c>
      <c r="F17" t="s">
        <v>51</v>
      </c>
      <c r="G17" t="s">
        <v>86</v>
      </c>
      <c r="H17" t="s">
        <v>53</v>
      </c>
      <c r="I17" t="s">
        <v>49</v>
      </c>
      <c r="J17" t="s">
        <v>54</v>
      </c>
      <c r="K17" t="s">
        <v>55</v>
      </c>
      <c r="L17" t="s">
        <v>78</v>
      </c>
      <c r="M17" t="s">
        <v>57</v>
      </c>
      <c r="N17" t="s">
        <v>66</v>
      </c>
      <c r="O17" t="s">
        <v>57</v>
      </c>
      <c r="P17" t="s">
        <v>57</v>
      </c>
      <c r="Q17" t="s">
        <v>57</v>
      </c>
      <c r="R17" t="s">
        <v>65</v>
      </c>
      <c r="S17" t="s">
        <v>57</v>
      </c>
      <c r="T17" t="s">
        <v>49</v>
      </c>
    </row>
    <row r="18" spans="1:20" x14ac:dyDescent="0.35">
      <c r="A18" t="s">
        <v>45</v>
      </c>
      <c r="B18" t="s">
        <v>47</v>
      </c>
      <c r="C18" t="s">
        <v>385</v>
      </c>
      <c r="D18" t="s">
        <v>49</v>
      </c>
      <c r="E18" t="s">
        <v>64</v>
      </c>
      <c r="F18" t="s">
        <v>357</v>
      </c>
      <c r="G18" t="s">
        <v>69</v>
      </c>
      <c r="H18" t="s">
        <v>53</v>
      </c>
      <c r="I18" t="s">
        <v>49</v>
      </c>
      <c r="J18" t="s">
        <v>54</v>
      </c>
      <c r="K18" t="s">
        <v>65</v>
      </c>
      <c r="L18" t="s">
        <v>72</v>
      </c>
      <c r="M18" t="s">
        <v>57</v>
      </c>
      <c r="N18" t="s">
        <v>65</v>
      </c>
      <c r="O18" t="s">
        <v>57</v>
      </c>
      <c r="P18" t="s">
        <v>88</v>
      </c>
      <c r="Q18" t="s">
        <v>49</v>
      </c>
      <c r="R18" t="s">
        <v>65</v>
      </c>
      <c r="S18" t="s">
        <v>57</v>
      </c>
      <c r="T18" t="s">
        <v>49</v>
      </c>
    </row>
    <row r="19" spans="1:20" x14ac:dyDescent="0.35">
      <c r="A19" t="s">
        <v>61</v>
      </c>
      <c r="B19" t="s">
        <v>62</v>
      </c>
      <c r="C19" t="s">
        <v>385</v>
      </c>
      <c r="D19" t="s">
        <v>49</v>
      </c>
      <c r="E19" t="s">
        <v>64</v>
      </c>
      <c r="F19" t="s">
        <v>51</v>
      </c>
      <c r="G19" t="s">
        <v>69</v>
      </c>
      <c r="H19" t="s">
        <v>76</v>
      </c>
      <c r="I19" t="s">
        <v>49</v>
      </c>
      <c r="J19" t="s">
        <v>54</v>
      </c>
      <c r="K19" t="s">
        <v>71</v>
      </c>
      <c r="L19" t="s">
        <v>65</v>
      </c>
      <c r="M19" t="s">
        <v>57</v>
      </c>
      <c r="N19" t="s">
        <v>66</v>
      </c>
      <c r="O19" t="s">
        <v>57</v>
      </c>
      <c r="P19" t="s">
        <v>49</v>
      </c>
      <c r="Q19" t="s">
        <v>49</v>
      </c>
      <c r="R19" t="s">
        <v>65</v>
      </c>
      <c r="S19" t="s">
        <v>57</v>
      </c>
      <c r="T19" t="s">
        <v>49</v>
      </c>
    </row>
    <row r="20" spans="1:20" x14ac:dyDescent="0.35">
      <c r="A20" t="s">
        <v>61</v>
      </c>
      <c r="B20" t="s">
        <v>47</v>
      </c>
      <c r="C20" t="s">
        <v>385</v>
      </c>
      <c r="D20" t="s">
        <v>49</v>
      </c>
      <c r="E20" t="s">
        <v>109</v>
      </c>
      <c r="F20" t="s">
        <v>95</v>
      </c>
      <c r="G20" t="s">
        <v>81</v>
      </c>
      <c r="H20" t="s">
        <v>53</v>
      </c>
      <c r="I20" t="s">
        <v>57</v>
      </c>
      <c r="J20" t="s">
        <v>53</v>
      </c>
      <c r="K20" t="s">
        <v>96</v>
      </c>
      <c r="L20" t="s">
        <v>56</v>
      </c>
      <c r="M20" t="s">
        <v>57</v>
      </c>
      <c r="N20" t="s">
        <v>58</v>
      </c>
      <c r="O20" t="s">
        <v>57</v>
      </c>
      <c r="P20" t="s">
        <v>49</v>
      </c>
      <c r="Q20" t="s">
        <v>57</v>
      </c>
      <c r="R20" t="s">
        <v>59</v>
      </c>
      <c r="S20" t="s">
        <v>88</v>
      </c>
      <c r="T20" t="s">
        <v>57</v>
      </c>
    </row>
    <row r="21" spans="1:20" x14ac:dyDescent="0.35">
      <c r="A21" t="s">
        <v>61</v>
      </c>
      <c r="B21" t="s">
        <v>104</v>
      </c>
      <c r="C21" t="s">
        <v>385</v>
      </c>
      <c r="D21" t="s">
        <v>57</v>
      </c>
      <c r="E21" t="s">
        <v>102</v>
      </c>
      <c r="F21" t="s">
        <v>51</v>
      </c>
      <c r="G21" t="s">
        <v>360</v>
      </c>
      <c r="H21" t="s">
        <v>53</v>
      </c>
      <c r="I21" t="s">
        <v>49</v>
      </c>
      <c r="J21" t="s">
        <v>54</v>
      </c>
      <c r="K21" t="s">
        <v>96</v>
      </c>
      <c r="L21" t="s">
        <v>72</v>
      </c>
      <c r="M21" t="s">
        <v>57</v>
      </c>
      <c r="N21" t="s">
        <v>58</v>
      </c>
      <c r="O21" t="s">
        <v>57</v>
      </c>
      <c r="P21" t="s">
        <v>49</v>
      </c>
      <c r="Q21" t="s">
        <v>57</v>
      </c>
      <c r="R21" t="s">
        <v>65</v>
      </c>
      <c r="S21" t="s">
        <v>57</v>
      </c>
      <c r="T21" t="s">
        <v>57</v>
      </c>
    </row>
    <row r="22" spans="1:20" x14ac:dyDescent="0.35">
      <c r="A22" t="s">
        <v>61</v>
      </c>
      <c r="B22" t="s">
        <v>47</v>
      </c>
      <c r="C22" t="s">
        <v>385</v>
      </c>
      <c r="D22" t="s">
        <v>57</v>
      </c>
      <c r="E22" t="s">
        <v>68</v>
      </c>
      <c r="F22" t="s">
        <v>99</v>
      </c>
      <c r="G22" t="s">
        <v>52</v>
      </c>
      <c r="H22" t="s">
        <v>76</v>
      </c>
      <c r="I22" t="s">
        <v>49</v>
      </c>
      <c r="J22" t="s">
        <v>54</v>
      </c>
      <c r="K22" t="s">
        <v>96</v>
      </c>
      <c r="L22" t="s">
        <v>65</v>
      </c>
      <c r="M22" t="s">
        <v>57</v>
      </c>
      <c r="N22" t="s">
        <v>66</v>
      </c>
      <c r="O22" t="s">
        <v>57</v>
      </c>
      <c r="P22" t="s">
        <v>57</v>
      </c>
      <c r="Q22" t="s">
        <v>49</v>
      </c>
      <c r="R22" t="s">
        <v>65</v>
      </c>
      <c r="S22" t="s">
        <v>57</v>
      </c>
      <c r="T22" t="s">
        <v>49</v>
      </c>
    </row>
    <row r="23" spans="1:20" x14ac:dyDescent="0.35">
      <c r="A23" t="s">
        <v>45</v>
      </c>
      <c r="B23" t="s">
        <v>62</v>
      </c>
      <c r="C23" t="s">
        <v>120</v>
      </c>
      <c r="D23" t="s">
        <v>57</v>
      </c>
      <c r="E23" t="s">
        <v>68</v>
      </c>
      <c r="F23" t="s">
        <v>95</v>
      </c>
      <c r="G23" t="s">
        <v>52</v>
      </c>
      <c r="H23" t="s">
        <v>100</v>
      </c>
      <c r="I23" t="s">
        <v>57</v>
      </c>
      <c r="J23" t="s">
        <v>53</v>
      </c>
      <c r="K23" t="s">
        <v>96</v>
      </c>
      <c r="L23" t="s">
        <v>78</v>
      </c>
      <c r="M23" t="s">
        <v>57</v>
      </c>
      <c r="N23" t="s">
        <v>58</v>
      </c>
      <c r="O23" t="s">
        <v>57</v>
      </c>
      <c r="P23" t="s">
        <v>49</v>
      </c>
      <c r="Q23" t="s">
        <v>57</v>
      </c>
      <c r="R23" t="s">
        <v>83</v>
      </c>
      <c r="S23" t="s">
        <v>57</v>
      </c>
      <c r="T23" t="s">
        <v>57</v>
      </c>
    </row>
    <row r="24" spans="1:20" x14ac:dyDescent="0.35">
      <c r="A24" t="s">
        <v>45</v>
      </c>
      <c r="B24" t="s">
        <v>47</v>
      </c>
      <c r="C24" t="s">
        <v>385</v>
      </c>
      <c r="D24" t="s">
        <v>57</v>
      </c>
      <c r="E24" t="s">
        <v>68</v>
      </c>
      <c r="F24" t="s">
        <v>99</v>
      </c>
      <c r="G24" t="s">
        <v>52</v>
      </c>
      <c r="H24" t="s">
        <v>100</v>
      </c>
      <c r="I24" t="s">
        <v>49</v>
      </c>
      <c r="J24" t="s">
        <v>54</v>
      </c>
      <c r="K24" t="s">
        <v>65</v>
      </c>
      <c r="L24" t="s">
        <v>65</v>
      </c>
      <c r="M24" t="s">
        <v>57</v>
      </c>
      <c r="N24" t="s">
        <v>65</v>
      </c>
      <c r="O24" t="s">
        <v>88</v>
      </c>
      <c r="P24" t="s">
        <v>88</v>
      </c>
      <c r="Q24" t="s">
        <v>49</v>
      </c>
      <c r="R24" t="s">
        <v>65</v>
      </c>
      <c r="S24" t="s">
        <v>57</v>
      </c>
      <c r="T24" t="s">
        <v>49</v>
      </c>
    </row>
    <row r="25" spans="1:20" x14ac:dyDescent="0.35">
      <c r="A25" t="s">
        <v>61</v>
      </c>
      <c r="B25" t="s">
        <v>62</v>
      </c>
      <c r="C25" t="s">
        <v>63</v>
      </c>
      <c r="D25" t="s">
        <v>49</v>
      </c>
      <c r="E25" t="s">
        <v>68</v>
      </c>
      <c r="F25" t="s">
        <v>51</v>
      </c>
      <c r="G25" t="s">
        <v>123</v>
      </c>
      <c r="H25" t="s">
        <v>77</v>
      </c>
      <c r="I25" t="s">
        <v>49</v>
      </c>
      <c r="J25" t="s">
        <v>54</v>
      </c>
      <c r="K25" t="s">
        <v>65</v>
      </c>
      <c r="L25" t="s">
        <v>65</v>
      </c>
      <c r="M25" t="s">
        <v>57</v>
      </c>
      <c r="N25" t="s">
        <v>66</v>
      </c>
      <c r="O25" t="s">
        <v>57</v>
      </c>
      <c r="P25" t="s">
        <v>49</v>
      </c>
      <c r="Q25" t="s">
        <v>49</v>
      </c>
      <c r="R25" t="s">
        <v>65</v>
      </c>
      <c r="S25" t="s">
        <v>57</v>
      </c>
      <c r="T25" t="s">
        <v>49</v>
      </c>
    </row>
    <row r="26" spans="1:20" x14ac:dyDescent="0.35">
      <c r="A26" t="s">
        <v>45</v>
      </c>
      <c r="B26" t="s">
        <v>94</v>
      </c>
      <c r="C26" t="s">
        <v>48</v>
      </c>
      <c r="D26" t="s">
        <v>49</v>
      </c>
      <c r="E26" t="s">
        <v>68</v>
      </c>
      <c r="F26" t="s">
        <v>92</v>
      </c>
      <c r="G26" t="s">
        <v>52</v>
      </c>
      <c r="H26" t="s">
        <v>53</v>
      </c>
      <c r="I26" t="s">
        <v>49</v>
      </c>
      <c r="J26" t="s">
        <v>54</v>
      </c>
      <c r="K26" t="s">
        <v>65</v>
      </c>
      <c r="L26" t="s">
        <v>78</v>
      </c>
      <c r="M26" t="s">
        <v>57</v>
      </c>
      <c r="N26" t="s">
        <v>66</v>
      </c>
      <c r="O26" t="s">
        <v>57</v>
      </c>
      <c r="P26" t="s">
        <v>49</v>
      </c>
      <c r="Q26" t="s">
        <v>49</v>
      </c>
      <c r="R26" t="s">
        <v>83</v>
      </c>
      <c r="S26" t="s">
        <v>57</v>
      </c>
      <c r="T26" t="s">
        <v>49</v>
      </c>
    </row>
    <row r="27" spans="1:20" x14ac:dyDescent="0.35">
      <c r="A27" t="s">
        <v>45</v>
      </c>
      <c r="B27" t="s">
        <v>62</v>
      </c>
      <c r="C27" t="s">
        <v>385</v>
      </c>
      <c r="D27" t="s">
        <v>57</v>
      </c>
      <c r="E27" t="s">
        <v>68</v>
      </c>
      <c r="F27" t="s">
        <v>95</v>
      </c>
      <c r="G27" t="s">
        <v>52</v>
      </c>
      <c r="H27" t="s">
        <v>87</v>
      </c>
      <c r="I27" t="s">
        <v>49</v>
      </c>
      <c r="J27" t="s">
        <v>54</v>
      </c>
      <c r="K27" t="s">
        <v>55</v>
      </c>
      <c r="L27" t="s">
        <v>56</v>
      </c>
      <c r="M27" t="s">
        <v>49</v>
      </c>
      <c r="N27" t="s">
        <v>126</v>
      </c>
      <c r="O27" t="s">
        <v>57</v>
      </c>
      <c r="P27" t="s">
        <v>88</v>
      </c>
      <c r="Q27" t="s">
        <v>57</v>
      </c>
      <c r="R27" t="s">
        <v>59</v>
      </c>
      <c r="S27" t="s">
        <v>88</v>
      </c>
      <c r="T27" t="s">
        <v>49</v>
      </c>
    </row>
    <row r="28" spans="1:20" x14ac:dyDescent="0.35">
      <c r="A28" t="s">
        <v>61</v>
      </c>
      <c r="B28" t="s">
        <v>94</v>
      </c>
      <c r="C28" t="s">
        <v>120</v>
      </c>
      <c r="D28" t="s">
        <v>49</v>
      </c>
      <c r="E28" t="s">
        <v>102</v>
      </c>
      <c r="F28" t="s">
        <v>51</v>
      </c>
      <c r="G28" t="s">
        <v>52</v>
      </c>
      <c r="H28" t="s">
        <v>87</v>
      </c>
      <c r="I28" t="s">
        <v>49</v>
      </c>
      <c r="J28" t="s">
        <v>54</v>
      </c>
      <c r="K28" t="s">
        <v>96</v>
      </c>
      <c r="L28" t="s">
        <v>78</v>
      </c>
      <c r="M28" t="s">
        <v>57</v>
      </c>
      <c r="N28" t="s">
        <v>66</v>
      </c>
      <c r="O28" t="s">
        <v>57</v>
      </c>
      <c r="P28" t="s">
        <v>57</v>
      </c>
      <c r="Q28" t="s">
        <v>49</v>
      </c>
      <c r="R28" t="s">
        <v>83</v>
      </c>
      <c r="S28" t="s">
        <v>49</v>
      </c>
      <c r="T28" t="s">
        <v>49</v>
      </c>
    </row>
    <row r="29" spans="1:20" x14ac:dyDescent="0.35">
      <c r="A29" t="s">
        <v>61</v>
      </c>
      <c r="B29" t="s">
        <v>62</v>
      </c>
      <c r="C29" t="s">
        <v>385</v>
      </c>
      <c r="D29" t="s">
        <v>57</v>
      </c>
      <c r="E29" t="s">
        <v>102</v>
      </c>
      <c r="F29" t="s">
        <v>85</v>
      </c>
      <c r="G29" t="s">
        <v>81</v>
      </c>
      <c r="H29" t="s">
        <v>53</v>
      </c>
      <c r="I29" t="s">
        <v>57</v>
      </c>
      <c r="J29" t="s">
        <v>70</v>
      </c>
      <c r="K29" t="s">
        <v>96</v>
      </c>
      <c r="L29" t="s">
        <v>65</v>
      </c>
      <c r="M29" t="s">
        <v>57</v>
      </c>
      <c r="N29" t="s">
        <v>58</v>
      </c>
      <c r="O29" t="s">
        <v>57</v>
      </c>
      <c r="P29" t="s">
        <v>88</v>
      </c>
      <c r="Q29" t="s">
        <v>49</v>
      </c>
      <c r="R29" t="s">
        <v>83</v>
      </c>
      <c r="S29" t="s">
        <v>57</v>
      </c>
      <c r="T29" t="s">
        <v>57</v>
      </c>
    </row>
    <row r="30" spans="1:20" x14ac:dyDescent="0.35">
      <c r="A30" t="s">
        <v>45</v>
      </c>
      <c r="B30" t="s">
        <v>62</v>
      </c>
      <c r="C30" t="s">
        <v>63</v>
      </c>
      <c r="D30" t="s">
        <v>57</v>
      </c>
      <c r="E30" t="s">
        <v>68</v>
      </c>
      <c r="F30" t="s">
        <v>95</v>
      </c>
      <c r="G30" t="s">
        <v>52</v>
      </c>
      <c r="H30" t="s">
        <v>53</v>
      </c>
      <c r="I30" t="s">
        <v>49</v>
      </c>
      <c r="J30" t="s">
        <v>54</v>
      </c>
      <c r="K30" t="s">
        <v>65</v>
      </c>
      <c r="L30" t="s">
        <v>65</v>
      </c>
      <c r="M30" t="s">
        <v>57</v>
      </c>
      <c r="N30" t="s">
        <v>58</v>
      </c>
      <c r="O30" t="s">
        <v>57</v>
      </c>
      <c r="P30" t="s">
        <v>49</v>
      </c>
      <c r="Q30" t="s">
        <v>49</v>
      </c>
      <c r="R30" t="s">
        <v>83</v>
      </c>
      <c r="S30" t="s">
        <v>57</v>
      </c>
      <c r="T30" t="s">
        <v>57</v>
      </c>
    </row>
    <row r="31" spans="1:20" x14ac:dyDescent="0.35">
      <c r="A31" t="s">
        <v>45</v>
      </c>
      <c r="B31" t="s">
        <v>94</v>
      </c>
      <c r="C31" t="s">
        <v>385</v>
      </c>
      <c r="D31" t="s">
        <v>57</v>
      </c>
      <c r="E31" t="s">
        <v>68</v>
      </c>
      <c r="F31" t="s">
        <v>51</v>
      </c>
      <c r="G31" t="s">
        <v>81</v>
      </c>
      <c r="H31" t="s">
        <v>53</v>
      </c>
      <c r="I31" t="s">
        <v>49</v>
      </c>
      <c r="J31" t="s">
        <v>54</v>
      </c>
      <c r="K31" t="s">
        <v>65</v>
      </c>
      <c r="L31" t="s">
        <v>65</v>
      </c>
      <c r="M31" t="s">
        <v>57</v>
      </c>
      <c r="N31" t="s">
        <v>66</v>
      </c>
      <c r="O31" t="s">
        <v>57</v>
      </c>
      <c r="P31" t="s">
        <v>49</v>
      </c>
      <c r="Q31" t="s">
        <v>49</v>
      </c>
      <c r="R31" t="s">
        <v>65</v>
      </c>
      <c r="S31" t="s">
        <v>49</v>
      </c>
      <c r="T31" t="s">
        <v>49</v>
      </c>
    </row>
    <row r="32" spans="1:20" x14ac:dyDescent="0.35">
      <c r="A32" t="s">
        <v>61</v>
      </c>
      <c r="B32" t="s">
        <v>104</v>
      </c>
      <c r="C32" t="s">
        <v>63</v>
      </c>
      <c r="D32" t="s">
        <v>57</v>
      </c>
      <c r="E32" t="s">
        <v>50</v>
      </c>
      <c r="F32" t="s">
        <v>85</v>
      </c>
      <c r="G32" t="s">
        <v>86</v>
      </c>
      <c r="H32" t="s">
        <v>53</v>
      </c>
      <c r="I32" t="s">
        <v>57</v>
      </c>
      <c r="J32" t="s">
        <v>87</v>
      </c>
      <c r="K32" t="s">
        <v>55</v>
      </c>
      <c r="L32" t="s">
        <v>56</v>
      </c>
      <c r="M32" t="s">
        <v>57</v>
      </c>
      <c r="N32" t="s">
        <v>58</v>
      </c>
      <c r="O32" t="s">
        <v>57</v>
      </c>
      <c r="P32" t="s">
        <v>57</v>
      </c>
      <c r="Q32" t="s">
        <v>57</v>
      </c>
      <c r="R32" t="s">
        <v>59</v>
      </c>
      <c r="S32" t="s">
        <v>57</v>
      </c>
      <c r="T32" t="s">
        <v>57</v>
      </c>
    </row>
    <row r="33" spans="1:20" x14ac:dyDescent="0.35">
      <c r="A33" t="s">
        <v>61</v>
      </c>
      <c r="B33" t="s">
        <v>47</v>
      </c>
      <c r="C33" t="s">
        <v>48</v>
      </c>
      <c r="D33" t="s">
        <v>57</v>
      </c>
      <c r="E33" t="s">
        <v>102</v>
      </c>
      <c r="F33" t="s">
        <v>51</v>
      </c>
      <c r="G33" t="s">
        <v>52</v>
      </c>
      <c r="H33" t="s">
        <v>53</v>
      </c>
      <c r="I33" t="s">
        <v>49</v>
      </c>
      <c r="J33" t="s">
        <v>54</v>
      </c>
      <c r="K33" t="s">
        <v>71</v>
      </c>
      <c r="L33" t="s">
        <v>56</v>
      </c>
      <c r="M33" t="s">
        <v>57</v>
      </c>
      <c r="N33" t="s">
        <v>66</v>
      </c>
      <c r="O33" t="s">
        <v>57</v>
      </c>
      <c r="P33" t="s">
        <v>88</v>
      </c>
      <c r="Q33" t="s">
        <v>49</v>
      </c>
      <c r="R33" t="s">
        <v>133</v>
      </c>
      <c r="S33" t="s">
        <v>88</v>
      </c>
      <c r="T33" t="s">
        <v>57</v>
      </c>
    </row>
    <row r="34" spans="1:20" x14ac:dyDescent="0.35">
      <c r="A34" t="s">
        <v>61</v>
      </c>
      <c r="B34" t="s">
        <v>62</v>
      </c>
      <c r="C34" t="s">
        <v>385</v>
      </c>
      <c r="D34" t="s">
        <v>57</v>
      </c>
      <c r="E34" t="s">
        <v>68</v>
      </c>
      <c r="F34" t="s">
        <v>357</v>
      </c>
      <c r="G34" t="s">
        <v>81</v>
      </c>
      <c r="H34" t="s">
        <v>53</v>
      </c>
      <c r="I34" t="s">
        <v>57</v>
      </c>
      <c r="J34" t="s">
        <v>53</v>
      </c>
      <c r="K34" t="s">
        <v>65</v>
      </c>
      <c r="L34" t="s">
        <v>72</v>
      </c>
      <c r="M34" t="s">
        <v>57</v>
      </c>
      <c r="N34" t="s">
        <v>105</v>
      </c>
      <c r="O34" t="s">
        <v>49</v>
      </c>
      <c r="P34" t="s">
        <v>49</v>
      </c>
      <c r="Q34" t="s">
        <v>49</v>
      </c>
      <c r="R34" t="s">
        <v>65</v>
      </c>
      <c r="S34" t="s">
        <v>57</v>
      </c>
      <c r="T34" t="s">
        <v>49</v>
      </c>
    </row>
    <row r="35" spans="1:20" x14ac:dyDescent="0.35">
      <c r="A35" t="s">
        <v>61</v>
      </c>
      <c r="B35" t="s">
        <v>47</v>
      </c>
      <c r="C35" t="s">
        <v>48</v>
      </c>
      <c r="D35" t="s">
        <v>49</v>
      </c>
      <c r="E35" t="s">
        <v>68</v>
      </c>
      <c r="F35" t="s">
        <v>51</v>
      </c>
      <c r="G35" t="s">
        <v>360</v>
      </c>
      <c r="H35" t="s">
        <v>87</v>
      </c>
      <c r="I35" t="s">
        <v>49</v>
      </c>
      <c r="J35" t="s">
        <v>54</v>
      </c>
      <c r="K35" t="s">
        <v>65</v>
      </c>
      <c r="L35" t="s">
        <v>65</v>
      </c>
      <c r="M35" t="s">
        <v>57</v>
      </c>
      <c r="N35" t="s">
        <v>65</v>
      </c>
      <c r="O35" t="s">
        <v>57</v>
      </c>
      <c r="P35" t="s">
        <v>88</v>
      </c>
      <c r="Q35" t="s">
        <v>49</v>
      </c>
      <c r="R35" t="s">
        <v>65</v>
      </c>
      <c r="S35" t="s">
        <v>57</v>
      </c>
      <c r="T35" t="s">
        <v>49</v>
      </c>
    </row>
    <row r="36" spans="1:20" x14ac:dyDescent="0.35">
      <c r="A36" t="s">
        <v>45</v>
      </c>
      <c r="B36" t="s">
        <v>47</v>
      </c>
      <c r="C36" t="s">
        <v>385</v>
      </c>
      <c r="D36" t="s">
        <v>57</v>
      </c>
      <c r="E36" t="s">
        <v>68</v>
      </c>
      <c r="F36" t="s">
        <v>95</v>
      </c>
      <c r="G36" t="s">
        <v>52</v>
      </c>
      <c r="H36" t="s">
        <v>53</v>
      </c>
      <c r="I36" t="s">
        <v>49</v>
      </c>
      <c r="J36" t="s">
        <v>54</v>
      </c>
      <c r="K36" t="s">
        <v>65</v>
      </c>
      <c r="L36" t="s">
        <v>65</v>
      </c>
      <c r="M36" t="s">
        <v>88</v>
      </c>
      <c r="N36" t="s">
        <v>105</v>
      </c>
      <c r="O36" t="s">
        <v>88</v>
      </c>
      <c r="P36" t="s">
        <v>49</v>
      </c>
      <c r="Q36" t="s">
        <v>49</v>
      </c>
      <c r="R36" t="s">
        <v>106</v>
      </c>
      <c r="S36" t="s">
        <v>49</v>
      </c>
      <c r="T36" t="s">
        <v>49</v>
      </c>
    </row>
    <row r="37" spans="1:20" x14ac:dyDescent="0.35">
      <c r="A37" t="s">
        <v>45</v>
      </c>
      <c r="B37" t="s">
        <v>47</v>
      </c>
      <c r="C37" t="s">
        <v>385</v>
      </c>
      <c r="D37" t="s">
        <v>49</v>
      </c>
      <c r="E37" t="s">
        <v>68</v>
      </c>
      <c r="F37" t="s">
        <v>357</v>
      </c>
      <c r="G37" t="s">
        <v>81</v>
      </c>
      <c r="H37" t="s">
        <v>53</v>
      </c>
      <c r="I37" t="s">
        <v>49</v>
      </c>
      <c r="J37" t="s">
        <v>54</v>
      </c>
      <c r="K37" t="s">
        <v>65</v>
      </c>
      <c r="L37" t="s">
        <v>65</v>
      </c>
      <c r="M37" t="s">
        <v>57</v>
      </c>
      <c r="N37" t="s">
        <v>65</v>
      </c>
      <c r="O37" t="s">
        <v>88</v>
      </c>
      <c r="P37" t="s">
        <v>49</v>
      </c>
      <c r="Q37" t="s">
        <v>49</v>
      </c>
      <c r="R37" t="s">
        <v>65</v>
      </c>
      <c r="S37" t="s">
        <v>57</v>
      </c>
      <c r="T37" t="s">
        <v>49</v>
      </c>
    </row>
    <row r="38" spans="1:20" x14ac:dyDescent="0.35">
      <c r="A38" t="s">
        <v>45</v>
      </c>
      <c r="B38" t="s">
        <v>47</v>
      </c>
      <c r="C38" t="s">
        <v>385</v>
      </c>
      <c r="D38" t="s">
        <v>57</v>
      </c>
      <c r="E38" t="s">
        <v>68</v>
      </c>
      <c r="F38" t="s">
        <v>95</v>
      </c>
      <c r="G38" t="s">
        <v>81</v>
      </c>
      <c r="H38" t="s">
        <v>53</v>
      </c>
      <c r="I38" t="s">
        <v>49</v>
      </c>
      <c r="J38" t="s">
        <v>54</v>
      </c>
      <c r="K38" t="s">
        <v>96</v>
      </c>
      <c r="L38" t="s">
        <v>78</v>
      </c>
      <c r="M38" t="s">
        <v>57</v>
      </c>
      <c r="N38" t="s">
        <v>66</v>
      </c>
      <c r="O38" t="s">
        <v>57</v>
      </c>
      <c r="P38" t="s">
        <v>49</v>
      </c>
      <c r="Q38" t="s">
        <v>49</v>
      </c>
      <c r="R38" t="s">
        <v>83</v>
      </c>
      <c r="S38" t="s">
        <v>57</v>
      </c>
      <c r="T38" t="s">
        <v>49</v>
      </c>
    </row>
    <row r="39" spans="1:20" x14ac:dyDescent="0.35">
      <c r="A39" t="s">
        <v>45</v>
      </c>
      <c r="B39" t="s">
        <v>47</v>
      </c>
      <c r="C39" t="s">
        <v>48</v>
      </c>
      <c r="D39" t="s">
        <v>49</v>
      </c>
      <c r="E39" t="s">
        <v>68</v>
      </c>
      <c r="F39" t="s">
        <v>51</v>
      </c>
      <c r="G39" t="s">
        <v>81</v>
      </c>
      <c r="H39" t="s">
        <v>76</v>
      </c>
      <c r="I39" t="s">
        <v>49</v>
      </c>
      <c r="J39" t="s">
        <v>54</v>
      </c>
      <c r="K39" t="s">
        <v>71</v>
      </c>
      <c r="L39" t="s">
        <v>72</v>
      </c>
      <c r="M39" t="s">
        <v>57</v>
      </c>
      <c r="N39" t="s">
        <v>65</v>
      </c>
      <c r="O39" t="s">
        <v>57</v>
      </c>
      <c r="P39" t="s">
        <v>57</v>
      </c>
      <c r="Q39" t="s">
        <v>49</v>
      </c>
      <c r="R39" t="s">
        <v>65</v>
      </c>
      <c r="S39" t="s">
        <v>57</v>
      </c>
      <c r="T39" t="s">
        <v>49</v>
      </c>
    </row>
    <row r="40" spans="1:20" x14ac:dyDescent="0.35">
      <c r="A40" t="s">
        <v>45</v>
      </c>
      <c r="B40" t="s">
        <v>47</v>
      </c>
      <c r="C40" t="s">
        <v>48</v>
      </c>
      <c r="D40" t="s">
        <v>57</v>
      </c>
      <c r="E40" t="s">
        <v>50</v>
      </c>
      <c r="F40" t="s">
        <v>51</v>
      </c>
      <c r="G40" t="s">
        <v>52</v>
      </c>
      <c r="H40" t="s">
        <v>53</v>
      </c>
      <c r="I40" t="s">
        <v>57</v>
      </c>
      <c r="J40" t="s">
        <v>53</v>
      </c>
      <c r="K40" t="s">
        <v>55</v>
      </c>
      <c r="L40" t="s">
        <v>56</v>
      </c>
      <c r="M40" t="s">
        <v>57</v>
      </c>
      <c r="N40" t="s">
        <v>58</v>
      </c>
      <c r="O40" t="s">
        <v>57</v>
      </c>
      <c r="P40" t="s">
        <v>57</v>
      </c>
      <c r="Q40" t="s">
        <v>57</v>
      </c>
      <c r="R40" t="s">
        <v>59</v>
      </c>
      <c r="S40" t="s">
        <v>57</v>
      </c>
      <c r="T40" t="s">
        <v>57</v>
      </c>
    </row>
    <row r="41" spans="1:20" x14ac:dyDescent="0.35">
      <c r="A41" t="s">
        <v>61</v>
      </c>
      <c r="B41" t="s">
        <v>104</v>
      </c>
      <c r="C41" t="s">
        <v>63</v>
      </c>
      <c r="D41" t="s">
        <v>57</v>
      </c>
      <c r="E41" t="s">
        <v>50</v>
      </c>
      <c r="F41" t="s">
        <v>51</v>
      </c>
      <c r="G41" t="s">
        <v>86</v>
      </c>
      <c r="H41" t="s">
        <v>53</v>
      </c>
      <c r="I41" t="s">
        <v>57</v>
      </c>
      <c r="J41" t="s">
        <v>53</v>
      </c>
      <c r="K41" t="s">
        <v>55</v>
      </c>
      <c r="L41" t="s">
        <v>65</v>
      </c>
      <c r="M41" t="s">
        <v>49</v>
      </c>
      <c r="N41" t="s">
        <v>65</v>
      </c>
      <c r="O41" t="s">
        <v>57</v>
      </c>
      <c r="P41" t="s">
        <v>49</v>
      </c>
      <c r="Q41" t="s">
        <v>49</v>
      </c>
      <c r="R41" t="s">
        <v>65</v>
      </c>
      <c r="S41" t="s">
        <v>57</v>
      </c>
      <c r="T41" t="s">
        <v>57</v>
      </c>
    </row>
    <row r="42" spans="1:20" x14ac:dyDescent="0.35">
      <c r="A42" t="s">
        <v>61</v>
      </c>
      <c r="B42" t="s">
        <v>47</v>
      </c>
      <c r="C42" t="s">
        <v>80</v>
      </c>
      <c r="D42" t="s">
        <v>57</v>
      </c>
      <c r="E42" t="s">
        <v>64</v>
      </c>
      <c r="F42" t="s">
        <v>357</v>
      </c>
      <c r="G42" t="s">
        <v>81</v>
      </c>
      <c r="H42" t="s">
        <v>53</v>
      </c>
      <c r="I42" t="s">
        <v>49</v>
      </c>
      <c r="J42" t="s">
        <v>53</v>
      </c>
      <c r="K42" t="s">
        <v>65</v>
      </c>
      <c r="L42" t="s">
        <v>56</v>
      </c>
      <c r="M42" t="s">
        <v>57</v>
      </c>
      <c r="N42" t="s">
        <v>58</v>
      </c>
      <c r="O42" t="s">
        <v>57</v>
      </c>
      <c r="P42" t="s">
        <v>49</v>
      </c>
      <c r="Q42" t="s">
        <v>57</v>
      </c>
      <c r="R42" t="s">
        <v>59</v>
      </c>
      <c r="S42" t="s">
        <v>57</v>
      </c>
      <c r="T42" t="s">
        <v>57</v>
      </c>
    </row>
    <row r="43" spans="1:20" x14ac:dyDescent="0.35">
      <c r="A43" t="s">
        <v>45</v>
      </c>
      <c r="B43" t="s">
        <v>47</v>
      </c>
      <c r="C43" t="s">
        <v>120</v>
      </c>
      <c r="D43" t="s">
        <v>49</v>
      </c>
      <c r="E43" t="s">
        <v>109</v>
      </c>
      <c r="F43" t="s">
        <v>357</v>
      </c>
      <c r="G43" t="s">
        <v>52</v>
      </c>
      <c r="H43" t="s">
        <v>87</v>
      </c>
      <c r="I43" t="s">
        <v>49</v>
      </c>
      <c r="J43" t="s">
        <v>54</v>
      </c>
      <c r="K43" t="s">
        <v>65</v>
      </c>
      <c r="L43" t="s">
        <v>78</v>
      </c>
      <c r="M43" t="s">
        <v>88</v>
      </c>
      <c r="N43" t="s">
        <v>66</v>
      </c>
      <c r="O43" t="s">
        <v>57</v>
      </c>
      <c r="P43" t="s">
        <v>88</v>
      </c>
      <c r="Q43" t="s">
        <v>49</v>
      </c>
      <c r="R43" t="s">
        <v>65</v>
      </c>
      <c r="S43" t="s">
        <v>57</v>
      </c>
      <c r="T43" t="s">
        <v>49</v>
      </c>
    </row>
    <row r="44" spans="1:20" x14ac:dyDescent="0.35">
      <c r="A44" t="s">
        <v>61</v>
      </c>
      <c r="B44" t="s">
        <v>62</v>
      </c>
      <c r="C44" t="s">
        <v>385</v>
      </c>
      <c r="D44" t="s">
        <v>57</v>
      </c>
      <c r="E44" t="s">
        <v>68</v>
      </c>
      <c r="F44" t="s">
        <v>85</v>
      </c>
      <c r="G44" t="s">
        <v>86</v>
      </c>
      <c r="H44" t="s">
        <v>53</v>
      </c>
      <c r="I44" t="s">
        <v>57</v>
      </c>
      <c r="J44" t="s">
        <v>53</v>
      </c>
      <c r="K44" t="s">
        <v>55</v>
      </c>
      <c r="L44" t="s">
        <v>78</v>
      </c>
      <c r="M44" t="s">
        <v>57</v>
      </c>
      <c r="N44" t="s">
        <v>65</v>
      </c>
      <c r="O44" t="s">
        <v>57</v>
      </c>
      <c r="P44" t="s">
        <v>88</v>
      </c>
      <c r="Q44" t="s">
        <v>49</v>
      </c>
      <c r="R44" t="s">
        <v>65</v>
      </c>
      <c r="S44" t="s">
        <v>88</v>
      </c>
      <c r="T44" t="s">
        <v>49</v>
      </c>
    </row>
    <row r="45" spans="1:20" x14ac:dyDescent="0.35">
      <c r="A45" t="s">
        <v>45</v>
      </c>
      <c r="B45" t="s">
        <v>94</v>
      </c>
      <c r="C45" t="s">
        <v>48</v>
      </c>
      <c r="D45" t="s">
        <v>49</v>
      </c>
      <c r="E45" t="s">
        <v>102</v>
      </c>
      <c r="F45" t="s">
        <v>51</v>
      </c>
      <c r="G45" t="s">
        <v>52</v>
      </c>
      <c r="H45" t="s">
        <v>100</v>
      </c>
      <c r="I45" t="s">
        <v>49</v>
      </c>
      <c r="J45" t="s">
        <v>54</v>
      </c>
      <c r="K45" t="s">
        <v>65</v>
      </c>
      <c r="L45" t="s">
        <v>65</v>
      </c>
      <c r="M45" t="s">
        <v>88</v>
      </c>
      <c r="N45" t="s">
        <v>66</v>
      </c>
      <c r="O45" t="s">
        <v>57</v>
      </c>
      <c r="P45" t="s">
        <v>88</v>
      </c>
      <c r="Q45" t="s">
        <v>49</v>
      </c>
      <c r="R45" t="s">
        <v>83</v>
      </c>
      <c r="S45" t="s">
        <v>57</v>
      </c>
      <c r="T45" t="s">
        <v>49</v>
      </c>
    </row>
    <row r="46" spans="1:20" x14ac:dyDescent="0.35">
      <c r="A46" t="s">
        <v>61</v>
      </c>
      <c r="B46" t="s">
        <v>104</v>
      </c>
      <c r="C46" t="s">
        <v>48</v>
      </c>
      <c r="D46" t="s">
        <v>57</v>
      </c>
      <c r="E46" t="s">
        <v>109</v>
      </c>
      <c r="F46" t="s">
        <v>51</v>
      </c>
      <c r="G46" t="s">
        <v>69</v>
      </c>
      <c r="H46" t="s">
        <v>100</v>
      </c>
      <c r="I46" t="s">
        <v>49</v>
      </c>
      <c r="J46" t="s">
        <v>54</v>
      </c>
      <c r="K46" t="s">
        <v>65</v>
      </c>
      <c r="L46" t="s">
        <v>65</v>
      </c>
      <c r="M46" t="s">
        <v>57</v>
      </c>
      <c r="N46" t="s">
        <v>66</v>
      </c>
      <c r="O46" t="s">
        <v>88</v>
      </c>
      <c r="P46" t="s">
        <v>49</v>
      </c>
      <c r="Q46" t="s">
        <v>49</v>
      </c>
      <c r="R46" t="s">
        <v>65</v>
      </c>
      <c r="S46" t="s">
        <v>57</v>
      </c>
      <c r="T46" t="s">
        <v>49</v>
      </c>
    </row>
    <row r="47" spans="1:20" x14ac:dyDescent="0.35">
      <c r="A47" t="s">
        <v>45</v>
      </c>
      <c r="B47" t="s">
        <v>47</v>
      </c>
      <c r="C47" t="s">
        <v>48</v>
      </c>
      <c r="D47" t="s">
        <v>49</v>
      </c>
      <c r="E47" t="s">
        <v>68</v>
      </c>
      <c r="F47" t="s">
        <v>357</v>
      </c>
      <c r="G47" t="s">
        <v>52</v>
      </c>
      <c r="H47" t="s">
        <v>100</v>
      </c>
      <c r="I47" t="s">
        <v>57</v>
      </c>
      <c r="J47" t="s">
        <v>53</v>
      </c>
      <c r="K47" t="s">
        <v>65</v>
      </c>
      <c r="L47" t="s">
        <v>65</v>
      </c>
      <c r="M47" t="s">
        <v>57</v>
      </c>
      <c r="N47" t="s">
        <v>66</v>
      </c>
      <c r="O47" t="s">
        <v>57</v>
      </c>
      <c r="P47" t="s">
        <v>88</v>
      </c>
      <c r="Q47" t="s">
        <v>49</v>
      </c>
      <c r="R47" t="s">
        <v>65</v>
      </c>
      <c r="S47" t="s">
        <v>57</v>
      </c>
      <c r="T47" t="s">
        <v>49</v>
      </c>
    </row>
    <row r="48" spans="1:20" x14ac:dyDescent="0.35">
      <c r="A48" t="s">
        <v>45</v>
      </c>
      <c r="B48" t="s">
        <v>94</v>
      </c>
      <c r="C48" t="s">
        <v>48</v>
      </c>
      <c r="D48" t="s">
        <v>49</v>
      </c>
      <c r="E48" t="s">
        <v>109</v>
      </c>
      <c r="F48" t="s">
        <v>357</v>
      </c>
      <c r="G48" t="s">
        <v>52</v>
      </c>
      <c r="H48" t="s">
        <v>53</v>
      </c>
      <c r="I48" t="s">
        <v>57</v>
      </c>
      <c r="J48" t="s">
        <v>53</v>
      </c>
      <c r="K48" t="s">
        <v>65</v>
      </c>
      <c r="L48" t="s">
        <v>72</v>
      </c>
      <c r="M48" t="s">
        <v>57</v>
      </c>
      <c r="N48" t="s">
        <v>66</v>
      </c>
      <c r="O48" t="s">
        <v>57</v>
      </c>
      <c r="P48" t="s">
        <v>57</v>
      </c>
      <c r="Q48" t="s">
        <v>49</v>
      </c>
      <c r="R48" t="s">
        <v>65</v>
      </c>
      <c r="S48" t="s">
        <v>57</v>
      </c>
      <c r="T48" t="s">
        <v>49</v>
      </c>
    </row>
    <row r="49" spans="1:20" x14ac:dyDescent="0.35">
      <c r="A49" t="s">
        <v>45</v>
      </c>
      <c r="B49" t="s">
        <v>104</v>
      </c>
      <c r="C49" t="s">
        <v>80</v>
      </c>
      <c r="D49" t="s">
        <v>57</v>
      </c>
      <c r="E49" t="s">
        <v>102</v>
      </c>
      <c r="F49" t="s">
        <v>99</v>
      </c>
      <c r="G49" t="s">
        <v>52</v>
      </c>
      <c r="H49" t="s">
        <v>77</v>
      </c>
      <c r="I49" t="s">
        <v>57</v>
      </c>
      <c r="J49" t="s">
        <v>87</v>
      </c>
      <c r="K49" t="s">
        <v>96</v>
      </c>
      <c r="L49" t="s">
        <v>65</v>
      </c>
      <c r="M49" t="s">
        <v>57</v>
      </c>
      <c r="N49" t="s">
        <v>58</v>
      </c>
      <c r="O49" t="s">
        <v>57</v>
      </c>
      <c r="P49" t="s">
        <v>57</v>
      </c>
      <c r="Q49" t="s">
        <v>57</v>
      </c>
      <c r="R49" t="s">
        <v>83</v>
      </c>
      <c r="S49" t="s">
        <v>57</v>
      </c>
      <c r="T49" t="s">
        <v>57</v>
      </c>
    </row>
    <row r="50" spans="1:20" x14ac:dyDescent="0.35">
      <c r="A50" t="s">
        <v>61</v>
      </c>
      <c r="B50" t="s">
        <v>94</v>
      </c>
      <c r="C50" t="s">
        <v>48</v>
      </c>
      <c r="D50" t="s">
        <v>49</v>
      </c>
      <c r="E50" t="s">
        <v>64</v>
      </c>
      <c r="F50" t="s">
        <v>357</v>
      </c>
      <c r="G50" t="s">
        <v>81</v>
      </c>
      <c r="H50" t="s">
        <v>100</v>
      </c>
      <c r="I50" t="s">
        <v>49</v>
      </c>
      <c r="J50" t="s">
        <v>54</v>
      </c>
      <c r="K50" t="s">
        <v>55</v>
      </c>
      <c r="L50" t="s">
        <v>56</v>
      </c>
      <c r="M50" t="s">
        <v>88</v>
      </c>
      <c r="N50" t="s">
        <v>65</v>
      </c>
      <c r="O50" t="s">
        <v>49</v>
      </c>
      <c r="P50" t="s">
        <v>88</v>
      </c>
      <c r="Q50" t="s">
        <v>49</v>
      </c>
      <c r="R50" t="s">
        <v>83</v>
      </c>
      <c r="S50" t="s">
        <v>88</v>
      </c>
      <c r="T50" t="s">
        <v>49</v>
      </c>
    </row>
    <row r="51" spans="1:20" x14ac:dyDescent="0.35">
      <c r="A51" t="s">
        <v>61</v>
      </c>
      <c r="B51" t="s">
        <v>47</v>
      </c>
      <c r="C51" t="s">
        <v>120</v>
      </c>
      <c r="D51" t="s">
        <v>57</v>
      </c>
      <c r="E51" t="s">
        <v>64</v>
      </c>
      <c r="F51" t="s">
        <v>357</v>
      </c>
      <c r="G51" t="s">
        <v>52</v>
      </c>
      <c r="H51" t="s">
        <v>53</v>
      </c>
      <c r="I51" t="s">
        <v>57</v>
      </c>
      <c r="J51" t="s">
        <v>54</v>
      </c>
      <c r="K51" t="s">
        <v>55</v>
      </c>
      <c r="L51" t="s">
        <v>56</v>
      </c>
      <c r="M51" t="s">
        <v>88</v>
      </c>
      <c r="N51" t="s">
        <v>58</v>
      </c>
      <c r="O51" t="s">
        <v>57</v>
      </c>
      <c r="P51" t="s">
        <v>57</v>
      </c>
      <c r="Q51" t="s">
        <v>49</v>
      </c>
      <c r="R51" t="s">
        <v>83</v>
      </c>
      <c r="S51" t="s">
        <v>57</v>
      </c>
      <c r="T51" t="s">
        <v>49</v>
      </c>
    </row>
    <row r="52" spans="1:20" x14ac:dyDescent="0.35">
      <c r="A52" t="s">
        <v>61</v>
      </c>
      <c r="B52" t="s">
        <v>62</v>
      </c>
      <c r="C52" t="s">
        <v>48</v>
      </c>
      <c r="D52" t="s">
        <v>49</v>
      </c>
      <c r="E52" t="s">
        <v>50</v>
      </c>
      <c r="F52" t="s">
        <v>92</v>
      </c>
      <c r="G52" t="s">
        <v>358</v>
      </c>
      <c r="H52" t="s">
        <v>53</v>
      </c>
      <c r="I52" t="s">
        <v>49</v>
      </c>
      <c r="J52" t="s">
        <v>54</v>
      </c>
      <c r="K52" t="s">
        <v>110</v>
      </c>
      <c r="L52" t="s">
        <v>111</v>
      </c>
      <c r="M52" t="s">
        <v>57</v>
      </c>
      <c r="N52" t="s">
        <v>58</v>
      </c>
      <c r="O52" t="s">
        <v>57</v>
      </c>
      <c r="P52" t="s">
        <v>88</v>
      </c>
      <c r="Q52" t="s">
        <v>49</v>
      </c>
      <c r="R52" t="s">
        <v>133</v>
      </c>
      <c r="S52" t="s">
        <v>57</v>
      </c>
      <c r="T52" t="s">
        <v>49</v>
      </c>
    </row>
    <row r="53" spans="1:20" x14ac:dyDescent="0.35">
      <c r="A53" t="s">
        <v>61</v>
      </c>
      <c r="B53" t="s">
        <v>47</v>
      </c>
      <c r="C53" t="s">
        <v>48</v>
      </c>
      <c r="D53" t="s">
        <v>57</v>
      </c>
      <c r="E53" t="s">
        <v>102</v>
      </c>
      <c r="F53" t="s">
        <v>51</v>
      </c>
      <c r="G53" t="s">
        <v>86</v>
      </c>
      <c r="H53" t="s">
        <v>100</v>
      </c>
      <c r="I53" t="s">
        <v>361</v>
      </c>
      <c r="J53" t="s">
        <v>54</v>
      </c>
      <c r="K53" t="s">
        <v>96</v>
      </c>
      <c r="L53" t="s">
        <v>78</v>
      </c>
      <c r="M53" t="s">
        <v>57</v>
      </c>
      <c r="N53" t="s">
        <v>58</v>
      </c>
      <c r="O53" t="s">
        <v>57</v>
      </c>
      <c r="P53" t="s">
        <v>57</v>
      </c>
      <c r="Q53" t="s">
        <v>49</v>
      </c>
      <c r="R53" t="s">
        <v>59</v>
      </c>
      <c r="S53" t="s">
        <v>49</v>
      </c>
      <c r="T53" t="s">
        <v>49</v>
      </c>
    </row>
    <row r="54" spans="1:20" x14ac:dyDescent="0.35">
      <c r="A54" t="s">
        <v>61</v>
      </c>
      <c r="B54" t="s">
        <v>94</v>
      </c>
      <c r="C54" t="s">
        <v>48</v>
      </c>
      <c r="D54" t="s">
        <v>57</v>
      </c>
      <c r="E54" t="s">
        <v>50</v>
      </c>
      <c r="F54" t="s">
        <v>85</v>
      </c>
      <c r="G54" t="s">
        <v>52</v>
      </c>
      <c r="H54" t="s">
        <v>53</v>
      </c>
      <c r="I54" t="s">
        <v>57</v>
      </c>
      <c r="J54" t="s">
        <v>53</v>
      </c>
      <c r="K54" t="s">
        <v>55</v>
      </c>
      <c r="L54" t="s">
        <v>56</v>
      </c>
      <c r="M54" t="s">
        <v>57</v>
      </c>
      <c r="N54" t="s">
        <v>58</v>
      </c>
      <c r="O54" t="s">
        <v>57</v>
      </c>
      <c r="P54" t="s">
        <v>57</v>
      </c>
      <c r="Q54" t="s">
        <v>49</v>
      </c>
      <c r="R54" t="s">
        <v>59</v>
      </c>
      <c r="S54" t="s">
        <v>57</v>
      </c>
      <c r="T54" t="s">
        <v>49</v>
      </c>
    </row>
    <row r="55" spans="1:20" x14ac:dyDescent="0.35">
      <c r="A55" t="s">
        <v>61</v>
      </c>
      <c r="B55" t="s">
        <v>47</v>
      </c>
      <c r="C55" s="3" t="s">
        <v>48</v>
      </c>
      <c r="D55" s="3" t="s">
        <v>49</v>
      </c>
      <c r="E55" s="3" t="s">
        <v>109</v>
      </c>
      <c r="F55" s="3" t="s">
        <v>357</v>
      </c>
      <c r="G55" s="3" t="s">
        <v>52</v>
      </c>
      <c r="H55" s="3" t="s">
        <v>53</v>
      </c>
      <c r="I55" s="3" t="s">
        <v>49</v>
      </c>
      <c r="J55" s="3" t="s">
        <v>54</v>
      </c>
      <c r="K55" s="3" t="s">
        <v>65</v>
      </c>
      <c r="L55" s="3" t="s">
        <v>65</v>
      </c>
      <c r="M55" s="3" t="s">
        <v>57</v>
      </c>
      <c r="N55" s="3" t="s">
        <v>66</v>
      </c>
      <c r="O55" s="3" t="s">
        <v>57</v>
      </c>
      <c r="P55" t="s">
        <v>88</v>
      </c>
      <c r="Q55" t="s">
        <v>49</v>
      </c>
      <c r="R55" t="s">
        <v>65</v>
      </c>
      <c r="S55" t="s">
        <v>57</v>
      </c>
      <c r="T55" t="s">
        <v>49</v>
      </c>
    </row>
    <row r="56" spans="1:20" x14ac:dyDescent="0.35">
      <c r="A56" t="s">
        <v>61</v>
      </c>
      <c r="B56" t="s">
        <v>47</v>
      </c>
      <c r="C56" s="3" t="s">
        <v>48</v>
      </c>
      <c r="D56" s="3" t="s">
        <v>49</v>
      </c>
      <c r="E56" s="3" t="s">
        <v>68</v>
      </c>
      <c r="F56" s="3" t="s">
        <v>95</v>
      </c>
      <c r="G56" s="3" t="s">
        <v>81</v>
      </c>
      <c r="H56" s="3" t="s">
        <v>53</v>
      </c>
      <c r="I56" s="3" t="s">
        <v>49</v>
      </c>
      <c r="J56" s="3" t="s">
        <v>54</v>
      </c>
      <c r="K56" s="3" t="s">
        <v>96</v>
      </c>
      <c r="L56" s="3" t="s">
        <v>78</v>
      </c>
      <c r="M56" s="3" t="s">
        <v>57</v>
      </c>
      <c r="N56" s="3" t="s">
        <v>58</v>
      </c>
      <c r="O56" s="3" t="s">
        <v>57</v>
      </c>
      <c r="P56" t="s">
        <v>88</v>
      </c>
      <c r="Q56" t="s">
        <v>49</v>
      </c>
      <c r="R56" t="s">
        <v>65</v>
      </c>
      <c r="S56" t="s">
        <v>57</v>
      </c>
      <c r="T56" t="s">
        <v>49</v>
      </c>
    </row>
    <row r="57" spans="1:20" x14ac:dyDescent="0.35">
      <c r="A57" t="s">
        <v>61</v>
      </c>
      <c r="B57" t="s">
        <v>94</v>
      </c>
      <c r="C57" s="3" t="s">
        <v>48</v>
      </c>
      <c r="D57" s="3" t="s">
        <v>49</v>
      </c>
      <c r="E57" s="3" t="s">
        <v>68</v>
      </c>
      <c r="F57" s="3" t="s">
        <v>51</v>
      </c>
      <c r="G57" s="3" t="s">
        <v>86</v>
      </c>
      <c r="H57" s="3" t="s">
        <v>53</v>
      </c>
      <c r="I57" s="3" t="s">
        <v>49</v>
      </c>
      <c r="J57" s="3" t="s">
        <v>54</v>
      </c>
      <c r="K57" s="3" t="s">
        <v>55</v>
      </c>
      <c r="L57" s="3" t="s">
        <v>56</v>
      </c>
      <c r="M57" s="3" t="s">
        <v>88</v>
      </c>
      <c r="N57" s="3" t="s">
        <v>65</v>
      </c>
      <c r="O57" s="3" t="s">
        <v>57</v>
      </c>
      <c r="P57" t="s">
        <v>88</v>
      </c>
      <c r="Q57" t="s">
        <v>49</v>
      </c>
      <c r="R57" t="s">
        <v>65</v>
      </c>
      <c r="S57" t="s">
        <v>88</v>
      </c>
      <c r="T57" t="s">
        <v>49</v>
      </c>
    </row>
    <row r="58" spans="1:20" x14ac:dyDescent="0.35">
      <c r="A58" t="s">
        <v>45</v>
      </c>
      <c r="B58" t="s">
        <v>94</v>
      </c>
      <c r="C58" s="3" t="s">
        <v>48</v>
      </c>
      <c r="D58" s="3" t="s">
        <v>49</v>
      </c>
      <c r="E58" s="3" t="s">
        <v>68</v>
      </c>
      <c r="F58" s="3" t="s">
        <v>357</v>
      </c>
      <c r="G58" s="3" t="s">
        <v>86</v>
      </c>
      <c r="H58" s="3" t="s">
        <v>53</v>
      </c>
      <c r="I58" s="3" t="s">
        <v>49</v>
      </c>
      <c r="J58" s="3" t="s">
        <v>54</v>
      </c>
      <c r="K58" s="3" t="s">
        <v>55</v>
      </c>
      <c r="L58" s="3" t="s">
        <v>56</v>
      </c>
      <c r="M58" s="3" t="s">
        <v>57</v>
      </c>
      <c r="N58" s="3" t="s">
        <v>66</v>
      </c>
      <c r="O58" s="3" t="s">
        <v>57</v>
      </c>
      <c r="P58" t="s">
        <v>88</v>
      </c>
      <c r="Q58" t="s">
        <v>49</v>
      </c>
      <c r="R58" t="s">
        <v>83</v>
      </c>
      <c r="S58" t="s">
        <v>57</v>
      </c>
      <c r="T58" t="s">
        <v>49</v>
      </c>
    </row>
    <row r="59" spans="1:20" x14ac:dyDescent="0.35">
      <c r="A59" t="s">
        <v>45</v>
      </c>
      <c r="B59" t="s">
        <v>47</v>
      </c>
      <c r="C59" s="3" t="s">
        <v>48</v>
      </c>
      <c r="D59" s="3" t="s">
        <v>49</v>
      </c>
      <c r="E59" s="3" t="s">
        <v>64</v>
      </c>
      <c r="F59" s="3" t="s">
        <v>51</v>
      </c>
      <c r="G59" s="3" t="s">
        <v>52</v>
      </c>
      <c r="H59" s="3" t="s">
        <v>53</v>
      </c>
      <c r="I59" s="3" t="s">
        <v>49</v>
      </c>
      <c r="J59" s="3" t="s">
        <v>54</v>
      </c>
      <c r="K59" s="3" t="s">
        <v>55</v>
      </c>
      <c r="L59" s="3" t="s">
        <v>56</v>
      </c>
      <c r="M59" s="3" t="s">
        <v>57</v>
      </c>
      <c r="N59" s="3" t="s">
        <v>66</v>
      </c>
      <c r="O59" s="3" t="s">
        <v>57</v>
      </c>
      <c r="P59" t="s">
        <v>57</v>
      </c>
      <c r="Q59" t="s">
        <v>49</v>
      </c>
      <c r="R59" t="s">
        <v>65</v>
      </c>
      <c r="S59" t="s">
        <v>49</v>
      </c>
      <c r="T59" t="s">
        <v>49</v>
      </c>
    </row>
    <row r="60" spans="1:20" x14ac:dyDescent="0.35">
      <c r="A60" t="s">
        <v>61</v>
      </c>
      <c r="B60" t="s">
        <v>47</v>
      </c>
      <c r="C60" s="3" t="s">
        <v>48</v>
      </c>
      <c r="D60" s="3" t="s">
        <v>49</v>
      </c>
      <c r="E60" s="3" t="s">
        <v>64</v>
      </c>
      <c r="F60" s="3" t="s">
        <v>51</v>
      </c>
      <c r="G60" s="3" t="s">
        <v>69</v>
      </c>
      <c r="H60" s="3" t="s">
        <v>53</v>
      </c>
      <c r="I60" s="3" t="s">
        <v>49</v>
      </c>
      <c r="J60" s="3" t="s">
        <v>54</v>
      </c>
      <c r="K60" s="3" t="s">
        <v>55</v>
      </c>
      <c r="L60" s="3" t="s">
        <v>56</v>
      </c>
      <c r="M60" s="3" t="s">
        <v>57</v>
      </c>
      <c r="N60" s="3" t="s">
        <v>66</v>
      </c>
      <c r="O60" s="3" t="s">
        <v>57</v>
      </c>
      <c r="P60" t="s">
        <v>57</v>
      </c>
      <c r="Q60" t="s">
        <v>49</v>
      </c>
      <c r="R60" t="s">
        <v>83</v>
      </c>
      <c r="S60" t="s">
        <v>57</v>
      </c>
      <c r="T60" t="s">
        <v>57</v>
      </c>
    </row>
    <row r="61" spans="1:20" x14ac:dyDescent="0.35">
      <c r="A61" t="s">
        <v>61</v>
      </c>
      <c r="B61" t="s">
        <v>47</v>
      </c>
      <c r="C61" s="3" t="s">
        <v>48</v>
      </c>
      <c r="D61" s="3" t="s">
        <v>49</v>
      </c>
      <c r="E61" s="3" t="s">
        <v>64</v>
      </c>
      <c r="F61" s="3" t="s">
        <v>357</v>
      </c>
      <c r="G61" s="3" t="s">
        <v>86</v>
      </c>
      <c r="H61" s="3" t="s">
        <v>53</v>
      </c>
      <c r="I61" s="3" t="s">
        <v>49</v>
      </c>
      <c r="J61" s="3" t="s">
        <v>54</v>
      </c>
      <c r="K61" s="3" t="s">
        <v>65</v>
      </c>
      <c r="L61" s="3" t="s">
        <v>65</v>
      </c>
      <c r="M61" s="3" t="s">
        <v>57</v>
      </c>
      <c r="N61" s="3" t="s">
        <v>65</v>
      </c>
      <c r="O61" s="3" t="s">
        <v>57</v>
      </c>
      <c r="P61" t="s">
        <v>88</v>
      </c>
      <c r="Q61" t="s">
        <v>49</v>
      </c>
      <c r="R61" t="s">
        <v>65</v>
      </c>
      <c r="S61" t="s">
        <v>88</v>
      </c>
      <c r="T61" t="s">
        <v>49</v>
      </c>
    </row>
    <row r="62" spans="1:20" x14ac:dyDescent="0.35">
      <c r="A62" t="s">
        <v>45</v>
      </c>
      <c r="B62" t="s">
        <v>94</v>
      </c>
      <c r="C62" s="3" t="s">
        <v>120</v>
      </c>
      <c r="D62" s="3" t="s">
        <v>57</v>
      </c>
      <c r="E62" s="3" t="s">
        <v>50</v>
      </c>
      <c r="F62" s="3" t="s">
        <v>51</v>
      </c>
      <c r="G62" s="3" t="s">
        <v>52</v>
      </c>
      <c r="H62" s="3" t="s">
        <v>53</v>
      </c>
      <c r="I62" s="3" t="s">
        <v>57</v>
      </c>
      <c r="J62" s="3" t="s">
        <v>53</v>
      </c>
      <c r="K62" s="3" t="s">
        <v>55</v>
      </c>
      <c r="L62" s="3" t="s">
        <v>78</v>
      </c>
      <c r="M62" s="3" t="s">
        <v>57</v>
      </c>
      <c r="N62" s="3" t="s">
        <v>66</v>
      </c>
      <c r="O62" s="3" t="s">
        <v>57</v>
      </c>
      <c r="P62" t="s">
        <v>88</v>
      </c>
      <c r="Q62" t="s">
        <v>57</v>
      </c>
      <c r="R62" t="s">
        <v>83</v>
      </c>
      <c r="S62" t="s">
        <v>88</v>
      </c>
      <c r="T62" t="s">
        <v>57</v>
      </c>
    </row>
    <row r="63" spans="1:20" x14ac:dyDescent="0.35">
      <c r="A63" t="s">
        <v>61</v>
      </c>
      <c r="B63" t="s">
        <v>94</v>
      </c>
      <c r="C63" s="3" t="s">
        <v>48</v>
      </c>
      <c r="D63" s="3" t="s">
        <v>49</v>
      </c>
      <c r="E63" s="3" t="s">
        <v>68</v>
      </c>
      <c r="F63" s="3" t="s">
        <v>95</v>
      </c>
      <c r="G63" s="3" t="s">
        <v>52</v>
      </c>
      <c r="H63" s="3" t="s">
        <v>53</v>
      </c>
      <c r="I63" s="3" t="s">
        <v>49</v>
      </c>
      <c r="J63" s="3" t="s">
        <v>54</v>
      </c>
      <c r="K63" s="3" t="s">
        <v>55</v>
      </c>
      <c r="L63" s="3" t="s">
        <v>56</v>
      </c>
      <c r="M63" s="3" t="s">
        <v>57</v>
      </c>
      <c r="N63" s="3" t="s">
        <v>66</v>
      </c>
      <c r="O63" s="3" t="s">
        <v>57</v>
      </c>
      <c r="P63" t="s">
        <v>49</v>
      </c>
      <c r="Q63" t="s">
        <v>49</v>
      </c>
      <c r="R63" t="s">
        <v>59</v>
      </c>
      <c r="S63" t="s">
        <v>57</v>
      </c>
      <c r="T63" t="s">
        <v>49</v>
      </c>
    </row>
    <row r="64" spans="1:20" x14ac:dyDescent="0.35">
      <c r="A64" t="s">
        <v>45</v>
      </c>
      <c r="B64" t="s">
        <v>94</v>
      </c>
      <c r="C64" s="3" t="s">
        <v>48</v>
      </c>
      <c r="D64" s="3" t="s">
        <v>49</v>
      </c>
      <c r="E64" s="3" t="s">
        <v>68</v>
      </c>
      <c r="F64" s="3" t="s">
        <v>51</v>
      </c>
      <c r="G64" s="3" t="s">
        <v>86</v>
      </c>
      <c r="H64" s="3" t="s">
        <v>53</v>
      </c>
      <c r="I64" s="3" t="s">
        <v>49</v>
      </c>
      <c r="J64" s="3" t="s">
        <v>54</v>
      </c>
      <c r="K64" s="3" t="s">
        <v>96</v>
      </c>
      <c r="L64" s="3" t="s">
        <v>65</v>
      </c>
      <c r="M64" s="3" t="s">
        <v>88</v>
      </c>
      <c r="N64" s="3" t="s">
        <v>105</v>
      </c>
      <c r="O64" s="3" t="s">
        <v>88</v>
      </c>
      <c r="P64" t="s">
        <v>88</v>
      </c>
      <c r="Q64" t="s">
        <v>49</v>
      </c>
      <c r="R64" t="s">
        <v>65</v>
      </c>
      <c r="S64" t="s">
        <v>88</v>
      </c>
      <c r="T64" t="s">
        <v>49</v>
      </c>
    </row>
    <row r="65" spans="1:20" x14ac:dyDescent="0.35">
      <c r="A65" t="s">
        <v>45</v>
      </c>
      <c r="B65" t="s">
        <v>47</v>
      </c>
      <c r="C65" t="s">
        <v>48</v>
      </c>
      <c r="D65" t="s">
        <v>49</v>
      </c>
      <c r="E65" t="s">
        <v>68</v>
      </c>
      <c r="F65" t="s">
        <v>51</v>
      </c>
      <c r="G65" t="s">
        <v>86</v>
      </c>
      <c r="H65" t="s">
        <v>53</v>
      </c>
      <c r="I65" t="s">
        <v>57</v>
      </c>
      <c r="J65" t="s">
        <v>87</v>
      </c>
      <c r="K65" t="s">
        <v>65</v>
      </c>
      <c r="L65" t="s">
        <v>78</v>
      </c>
      <c r="M65" t="s">
        <v>49</v>
      </c>
      <c r="N65" t="s">
        <v>65</v>
      </c>
      <c r="O65" t="s">
        <v>49</v>
      </c>
      <c r="P65" t="s">
        <v>57</v>
      </c>
      <c r="Q65" t="s">
        <v>49</v>
      </c>
      <c r="R65" t="s">
        <v>59</v>
      </c>
      <c r="S65" t="s">
        <v>57</v>
      </c>
      <c r="T65" t="s">
        <v>57</v>
      </c>
    </row>
    <row r="66" spans="1:20" x14ac:dyDescent="0.35">
      <c r="A66" t="s">
        <v>61</v>
      </c>
      <c r="B66" t="s">
        <v>62</v>
      </c>
      <c r="C66" t="s">
        <v>48</v>
      </c>
      <c r="D66" t="s">
        <v>49</v>
      </c>
      <c r="E66" t="s">
        <v>109</v>
      </c>
      <c r="F66" t="s">
        <v>357</v>
      </c>
      <c r="G66" t="s">
        <v>81</v>
      </c>
      <c r="H66" t="s">
        <v>53</v>
      </c>
      <c r="I66" t="s">
        <v>49</v>
      </c>
      <c r="J66" t="s">
        <v>54</v>
      </c>
      <c r="K66" t="s">
        <v>65</v>
      </c>
      <c r="L66" t="s">
        <v>65</v>
      </c>
      <c r="M66" t="s">
        <v>88</v>
      </c>
      <c r="N66" t="s">
        <v>65</v>
      </c>
      <c r="O66" t="s">
        <v>88</v>
      </c>
      <c r="P66" t="s">
        <v>88</v>
      </c>
      <c r="Q66" t="s">
        <v>49</v>
      </c>
      <c r="R66" t="s">
        <v>65</v>
      </c>
      <c r="S66" t="s">
        <v>88</v>
      </c>
      <c r="T66" t="s">
        <v>49</v>
      </c>
    </row>
    <row r="67" spans="1:20" x14ac:dyDescent="0.35">
      <c r="A67" t="s">
        <v>61</v>
      </c>
      <c r="B67" t="s">
        <v>94</v>
      </c>
      <c r="C67" t="s">
        <v>48</v>
      </c>
      <c r="D67" t="s">
        <v>49</v>
      </c>
      <c r="E67" t="s">
        <v>68</v>
      </c>
      <c r="F67" t="s">
        <v>51</v>
      </c>
      <c r="G67" t="s">
        <v>69</v>
      </c>
      <c r="H67" t="s">
        <v>53</v>
      </c>
      <c r="I67" t="s">
        <v>49</v>
      </c>
      <c r="J67" t="s">
        <v>54</v>
      </c>
      <c r="K67" t="s">
        <v>55</v>
      </c>
      <c r="L67" t="s">
        <v>56</v>
      </c>
      <c r="M67" t="s">
        <v>57</v>
      </c>
      <c r="N67" t="s">
        <v>66</v>
      </c>
      <c r="O67" t="s">
        <v>57</v>
      </c>
      <c r="P67" t="s">
        <v>57</v>
      </c>
      <c r="Q67" t="s">
        <v>49</v>
      </c>
      <c r="R67" t="s">
        <v>83</v>
      </c>
      <c r="S67" t="s">
        <v>57</v>
      </c>
      <c r="T67" t="s">
        <v>49</v>
      </c>
    </row>
    <row r="68" spans="1:20" x14ac:dyDescent="0.35">
      <c r="A68" t="s">
        <v>45</v>
      </c>
      <c r="B68" t="s">
        <v>47</v>
      </c>
      <c r="C68" t="s">
        <v>48</v>
      </c>
      <c r="D68" t="s">
        <v>49</v>
      </c>
      <c r="E68" t="s">
        <v>68</v>
      </c>
      <c r="F68" t="s">
        <v>51</v>
      </c>
      <c r="G68" t="s">
        <v>86</v>
      </c>
      <c r="H68" t="s">
        <v>53</v>
      </c>
      <c r="I68" t="s">
        <v>49</v>
      </c>
      <c r="J68" t="s">
        <v>54</v>
      </c>
      <c r="K68" t="s">
        <v>65</v>
      </c>
      <c r="L68" t="s">
        <v>56</v>
      </c>
      <c r="M68" t="s">
        <v>57</v>
      </c>
      <c r="N68" t="s">
        <v>58</v>
      </c>
      <c r="O68" t="s">
        <v>57</v>
      </c>
      <c r="P68" t="s">
        <v>49</v>
      </c>
      <c r="Q68" t="s">
        <v>49</v>
      </c>
      <c r="R68" t="s">
        <v>59</v>
      </c>
      <c r="S68" t="s">
        <v>57</v>
      </c>
      <c r="T68" t="s">
        <v>49</v>
      </c>
    </row>
    <row r="69" spans="1:20" x14ac:dyDescent="0.35">
      <c r="A69" t="s">
        <v>61</v>
      </c>
      <c r="B69" t="s">
        <v>47</v>
      </c>
      <c r="C69" t="s">
        <v>48</v>
      </c>
      <c r="D69" t="s">
        <v>57</v>
      </c>
      <c r="E69" t="s">
        <v>68</v>
      </c>
      <c r="F69" t="s">
        <v>95</v>
      </c>
      <c r="G69" t="s">
        <v>52</v>
      </c>
      <c r="H69" t="s">
        <v>100</v>
      </c>
      <c r="I69" t="s">
        <v>49</v>
      </c>
      <c r="J69" t="s">
        <v>54</v>
      </c>
      <c r="K69" t="s">
        <v>71</v>
      </c>
      <c r="L69" t="s">
        <v>78</v>
      </c>
      <c r="M69" t="s">
        <v>57</v>
      </c>
      <c r="N69" t="s">
        <v>66</v>
      </c>
      <c r="O69" t="s">
        <v>57</v>
      </c>
      <c r="P69" t="s">
        <v>57</v>
      </c>
      <c r="Q69" t="s">
        <v>49</v>
      </c>
      <c r="R69" t="s">
        <v>106</v>
      </c>
      <c r="S69" t="s">
        <v>49</v>
      </c>
      <c r="T69" t="s">
        <v>49</v>
      </c>
    </row>
    <row r="70" spans="1:20" x14ac:dyDescent="0.35">
      <c r="A70" t="s">
        <v>45</v>
      </c>
      <c r="B70" t="s">
        <v>94</v>
      </c>
      <c r="C70" t="s">
        <v>48</v>
      </c>
      <c r="D70" t="s">
        <v>49</v>
      </c>
      <c r="E70" t="s">
        <v>109</v>
      </c>
      <c r="F70" t="s">
        <v>357</v>
      </c>
      <c r="G70" t="s">
        <v>69</v>
      </c>
      <c r="H70" t="s">
        <v>53</v>
      </c>
      <c r="I70" t="s">
        <v>49</v>
      </c>
      <c r="J70" t="s">
        <v>54</v>
      </c>
      <c r="K70" t="s">
        <v>65</v>
      </c>
      <c r="L70" t="s">
        <v>65</v>
      </c>
      <c r="M70" t="s">
        <v>57</v>
      </c>
      <c r="N70" t="s">
        <v>66</v>
      </c>
      <c r="O70" t="s">
        <v>57</v>
      </c>
      <c r="P70" t="s">
        <v>88</v>
      </c>
      <c r="Q70" t="s">
        <v>49</v>
      </c>
      <c r="R70" t="s">
        <v>65</v>
      </c>
      <c r="S70" t="s">
        <v>57</v>
      </c>
      <c r="T70" t="s">
        <v>49</v>
      </c>
    </row>
    <row r="71" spans="1:20" x14ac:dyDescent="0.35">
      <c r="A71" t="s">
        <v>61</v>
      </c>
      <c r="B71" t="s">
        <v>94</v>
      </c>
      <c r="C71" t="s">
        <v>48</v>
      </c>
      <c r="D71" t="s">
        <v>49</v>
      </c>
      <c r="E71" t="s">
        <v>64</v>
      </c>
      <c r="F71" t="s">
        <v>357</v>
      </c>
      <c r="G71" t="s">
        <v>52</v>
      </c>
      <c r="H71" t="s">
        <v>100</v>
      </c>
      <c r="I71" t="s">
        <v>57</v>
      </c>
      <c r="J71" t="s">
        <v>53</v>
      </c>
      <c r="K71" t="s">
        <v>55</v>
      </c>
      <c r="L71" t="s">
        <v>78</v>
      </c>
      <c r="M71" t="s">
        <v>88</v>
      </c>
      <c r="N71" t="s">
        <v>65</v>
      </c>
      <c r="O71" t="s">
        <v>57</v>
      </c>
      <c r="P71" t="s">
        <v>88</v>
      </c>
      <c r="Q71" t="s">
        <v>49</v>
      </c>
      <c r="R71" t="s">
        <v>65</v>
      </c>
      <c r="S71" t="s">
        <v>49</v>
      </c>
      <c r="T71" t="s">
        <v>49</v>
      </c>
    </row>
    <row r="72" spans="1:20" x14ac:dyDescent="0.35">
      <c r="A72" t="s">
        <v>184</v>
      </c>
      <c r="B72" t="s">
        <v>62</v>
      </c>
      <c r="C72" t="s">
        <v>48</v>
      </c>
      <c r="D72" t="s">
        <v>49</v>
      </c>
      <c r="E72" t="s">
        <v>64</v>
      </c>
      <c r="F72" t="s">
        <v>357</v>
      </c>
      <c r="G72" t="s">
        <v>52</v>
      </c>
      <c r="H72" t="s">
        <v>53</v>
      </c>
      <c r="I72" t="s">
        <v>49</v>
      </c>
      <c r="J72" t="s">
        <v>54</v>
      </c>
      <c r="K72" t="s">
        <v>65</v>
      </c>
      <c r="L72" t="s">
        <v>65</v>
      </c>
      <c r="M72" t="s">
        <v>88</v>
      </c>
      <c r="N72" t="s">
        <v>105</v>
      </c>
      <c r="O72" t="s">
        <v>57</v>
      </c>
      <c r="P72" t="s">
        <v>88</v>
      </c>
      <c r="Q72" t="s">
        <v>49</v>
      </c>
      <c r="R72" t="s">
        <v>65</v>
      </c>
      <c r="S72" t="s">
        <v>57</v>
      </c>
      <c r="T72" t="s">
        <v>57</v>
      </c>
    </row>
    <row r="73" spans="1:20" x14ac:dyDescent="0.35">
      <c r="A73" t="s">
        <v>61</v>
      </c>
      <c r="B73" t="s">
        <v>47</v>
      </c>
      <c r="C73" t="s">
        <v>48</v>
      </c>
      <c r="D73" t="s">
        <v>49</v>
      </c>
      <c r="E73" t="s">
        <v>68</v>
      </c>
      <c r="F73" t="s">
        <v>357</v>
      </c>
      <c r="G73" t="s">
        <v>52</v>
      </c>
      <c r="H73" t="s">
        <v>53</v>
      </c>
      <c r="I73" t="s">
        <v>49</v>
      </c>
      <c r="J73" t="s">
        <v>54</v>
      </c>
      <c r="K73" t="s">
        <v>65</v>
      </c>
      <c r="L73" t="s">
        <v>65</v>
      </c>
      <c r="M73" t="s">
        <v>57</v>
      </c>
      <c r="N73" t="s">
        <v>66</v>
      </c>
      <c r="O73" t="s">
        <v>57</v>
      </c>
      <c r="P73" t="s">
        <v>57</v>
      </c>
      <c r="Q73" t="s">
        <v>57</v>
      </c>
      <c r="R73" t="s">
        <v>59</v>
      </c>
      <c r="S73" t="s">
        <v>57</v>
      </c>
      <c r="T73" t="s">
        <v>57</v>
      </c>
    </row>
    <row r="74" spans="1:20" x14ac:dyDescent="0.35">
      <c r="A74" t="s">
        <v>45</v>
      </c>
      <c r="B74" t="s">
        <v>47</v>
      </c>
      <c r="C74" t="s">
        <v>48</v>
      </c>
      <c r="D74" t="s">
        <v>49</v>
      </c>
      <c r="E74" t="s">
        <v>64</v>
      </c>
      <c r="F74" t="s">
        <v>51</v>
      </c>
      <c r="G74" t="s">
        <v>86</v>
      </c>
      <c r="H74" t="s">
        <v>87</v>
      </c>
      <c r="I74" t="s">
        <v>49</v>
      </c>
      <c r="J74" t="s">
        <v>54</v>
      </c>
      <c r="K74" t="s">
        <v>96</v>
      </c>
      <c r="L74" t="s">
        <v>78</v>
      </c>
      <c r="M74" t="s">
        <v>57</v>
      </c>
      <c r="N74" t="s">
        <v>66</v>
      </c>
      <c r="O74" t="s">
        <v>57</v>
      </c>
      <c r="P74" t="s">
        <v>57</v>
      </c>
      <c r="Q74" t="s">
        <v>49</v>
      </c>
      <c r="R74" t="s">
        <v>83</v>
      </c>
      <c r="S74" t="s">
        <v>57</v>
      </c>
      <c r="T74" t="s">
        <v>49</v>
      </c>
    </row>
    <row r="75" spans="1:20" x14ac:dyDescent="0.35">
      <c r="A75" t="s">
        <v>61</v>
      </c>
      <c r="B75" t="s">
        <v>94</v>
      </c>
      <c r="C75" t="s">
        <v>48</v>
      </c>
      <c r="D75" t="s">
        <v>49</v>
      </c>
      <c r="E75" t="s">
        <v>64</v>
      </c>
      <c r="F75" t="s">
        <v>51</v>
      </c>
      <c r="G75" t="s">
        <v>81</v>
      </c>
      <c r="H75" t="s">
        <v>53</v>
      </c>
      <c r="I75" t="s">
        <v>49</v>
      </c>
      <c r="J75" t="s">
        <v>54</v>
      </c>
      <c r="K75" t="s">
        <v>71</v>
      </c>
      <c r="L75" t="s">
        <v>111</v>
      </c>
      <c r="M75" t="s">
        <v>57</v>
      </c>
      <c r="N75" t="s">
        <v>58</v>
      </c>
      <c r="O75" t="s">
        <v>57</v>
      </c>
      <c r="P75" t="s">
        <v>49</v>
      </c>
      <c r="Q75" t="s">
        <v>49</v>
      </c>
      <c r="R75" t="s">
        <v>59</v>
      </c>
      <c r="S75" t="s">
        <v>57</v>
      </c>
      <c r="T75" t="s">
        <v>49</v>
      </c>
    </row>
    <row r="76" spans="1:20" x14ac:dyDescent="0.35">
      <c r="A76" t="s">
        <v>61</v>
      </c>
      <c r="B76" t="s">
        <v>47</v>
      </c>
      <c r="C76" t="s">
        <v>48</v>
      </c>
      <c r="D76" t="s">
        <v>49</v>
      </c>
      <c r="E76" t="s">
        <v>109</v>
      </c>
      <c r="F76" t="s">
        <v>357</v>
      </c>
      <c r="G76" t="s">
        <v>52</v>
      </c>
      <c r="H76" t="s">
        <v>53</v>
      </c>
      <c r="I76" t="s">
        <v>49</v>
      </c>
      <c r="J76" t="s">
        <v>54</v>
      </c>
      <c r="K76" t="s">
        <v>96</v>
      </c>
      <c r="L76" t="s">
        <v>65</v>
      </c>
      <c r="M76" t="s">
        <v>88</v>
      </c>
      <c r="N76" t="s">
        <v>65</v>
      </c>
      <c r="O76" t="s">
        <v>57</v>
      </c>
      <c r="P76" t="s">
        <v>88</v>
      </c>
      <c r="Q76" t="s">
        <v>49</v>
      </c>
      <c r="R76" t="s">
        <v>65</v>
      </c>
      <c r="S76" t="s">
        <v>57</v>
      </c>
      <c r="T76" t="s">
        <v>49</v>
      </c>
    </row>
    <row r="77" spans="1:20" x14ac:dyDescent="0.35">
      <c r="A77" t="s">
        <v>61</v>
      </c>
      <c r="B77" t="s">
        <v>47</v>
      </c>
      <c r="C77" t="s">
        <v>48</v>
      </c>
      <c r="D77" t="s">
        <v>49</v>
      </c>
      <c r="E77" t="s">
        <v>68</v>
      </c>
      <c r="F77" t="s">
        <v>51</v>
      </c>
      <c r="G77" t="s">
        <v>52</v>
      </c>
      <c r="H77" t="s">
        <v>53</v>
      </c>
      <c r="I77" t="s">
        <v>49</v>
      </c>
      <c r="J77" t="s">
        <v>54</v>
      </c>
      <c r="K77" t="s">
        <v>55</v>
      </c>
      <c r="L77" t="s">
        <v>56</v>
      </c>
      <c r="M77" t="s">
        <v>57</v>
      </c>
      <c r="N77" t="s">
        <v>58</v>
      </c>
      <c r="O77" t="s">
        <v>57</v>
      </c>
      <c r="P77" t="s">
        <v>57</v>
      </c>
      <c r="Q77" t="s">
        <v>57</v>
      </c>
      <c r="R77" t="s">
        <v>83</v>
      </c>
      <c r="S77" t="s">
        <v>57</v>
      </c>
      <c r="T77" t="s">
        <v>49</v>
      </c>
    </row>
    <row r="78" spans="1:20" x14ac:dyDescent="0.35">
      <c r="A78" t="s">
        <v>61</v>
      </c>
      <c r="B78" t="s">
        <v>94</v>
      </c>
      <c r="C78" t="s">
        <v>48</v>
      </c>
      <c r="D78" t="s">
        <v>49</v>
      </c>
      <c r="E78" t="s">
        <v>68</v>
      </c>
      <c r="F78" t="s">
        <v>51</v>
      </c>
      <c r="G78" t="s">
        <v>358</v>
      </c>
      <c r="H78" t="s">
        <v>53</v>
      </c>
      <c r="I78" t="s">
        <v>57</v>
      </c>
      <c r="J78" t="s">
        <v>364</v>
      </c>
      <c r="K78" t="s">
        <v>96</v>
      </c>
      <c r="L78" t="s">
        <v>78</v>
      </c>
      <c r="M78" t="s">
        <v>57</v>
      </c>
      <c r="N78" t="s">
        <v>66</v>
      </c>
      <c r="O78" t="s">
        <v>57</v>
      </c>
      <c r="P78" t="s">
        <v>57</v>
      </c>
      <c r="Q78" t="s">
        <v>49</v>
      </c>
      <c r="R78" t="s">
        <v>65</v>
      </c>
      <c r="S78" t="s">
        <v>57</v>
      </c>
      <c r="T78" t="s">
        <v>49</v>
      </c>
    </row>
    <row r="79" spans="1:20" x14ac:dyDescent="0.35">
      <c r="A79" t="s">
        <v>61</v>
      </c>
      <c r="B79" t="s">
        <v>94</v>
      </c>
      <c r="C79" t="s">
        <v>120</v>
      </c>
      <c r="D79" t="s">
        <v>57</v>
      </c>
      <c r="E79" t="s">
        <v>68</v>
      </c>
      <c r="F79" t="s">
        <v>51</v>
      </c>
      <c r="G79" t="s">
        <v>52</v>
      </c>
      <c r="H79" t="s">
        <v>53</v>
      </c>
      <c r="I79" t="s">
        <v>49</v>
      </c>
      <c r="J79" t="s">
        <v>54</v>
      </c>
      <c r="K79" t="s">
        <v>96</v>
      </c>
      <c r="L79" t="s">
        <v>65</v>
      </c>
      <c r="M79" t="s">
        <v>57</v>
      </c>
      <c r="N79" t="s">
        <v>58</v>
      </c>
      <c r="O79" t="s">
        <v>57</v>
      </c>
      <c r="P79" t="s">
        <v>88</v>
      </c>
      <c r="Q79" t="s">
        <v>49</v>
      </c>
      <c r="R79" t="s">
        <v>83</v>
      </c>
      <c r="S79" t="s">
        <v>88</v>
      </c>
      <c r="T79" t="s">
        <v>49</v>
      </c>
    </row>
    <row r="80" spans="1:20" x14ac:dyDescent="0.35">
      <c r="A80" t="s">
        <v>45</v>
      </c>
      <c r="B80" t="s">
        <v>94</v>
      </c>
      <c r="C80" t="s">
        <v>48</v>
      </c>
      <c r="D80" t="s">
        <v>49</v>
      </c>
      <c r="E80" t="s">
        <v>64</v>
      </c>
      <c r="F80" t="s">
        <v>51</v>
      </c>
      <c r="G80" t="s">
        <v>86</v>
      </c>
      <c r="H80" t="s">
        <v>53</v>
      </c>
      <c r="I80" t="s">
        <v>49</v>
      </c>
      <c r="J80" t="s">
        <v>54</v>
      </c>
      <c r="K80" t="s">
        <v>65</v>
      </c>
      <c r="L80" t="s">
        <v>65</v>
      </c>
      <c r="M80" t="s">
        <v>57</v>
      </c>
      <c r="N80" t="s">
        <v>65</v>
      </c>
      <c r="O80" t="s">
        <v>57</v>
      </c>
      <c r="P80" t="s">
        <v>57</v>
      </c>
      <c r="Q80" t="s">
        <v>49</v>
      </c>
      <c r="R80" t="s">
        <v>65</v>
      </c>
      <c r="S80" t="s">
        <v>57</v>
      </c>
      <c r="T80" t="s">
        <v>49</v>
      </c>
    </row>
    <row r="81" spans="1:20" x14ac:dyDescent="0.35">
      <c r="A81" t="s">
        <v>45</v>
      </c>
      <c r="B81" t="s">
        <v>94</v>
      </c>
      <c r="C81" t="s">
        <v>48</v>
      </c>
      <c r="D81" t="s">
        <v>57</v>
      </c>
      <c r="E81" t="s">
        <v>102</v>
      </c>
      <c r="F81" t="s">
        <v>51</v>
      </c>
      <c r="G81" t="s">
        <v>86</v>
      </c>
      <c r="H81" t="s">
        <v>53</v>
      </c>
      <c r="I81" t="s">
        <v>57</v>
      </c>
      <c r="J81" t="s">
        <v>53</v>
      </c>
      <c r="K81" t="s">
        <v>96</v>
      </c>
      <c r="L81" t="s">
        <v>78</v>
      </c>
      <c r="M81" t="s">
        <v>57</v>
      </c>
      <c r="N81" t="s">
        <v>66</v>
      </c>
      <c r="O81" t="s">
        <v>57</v>
      </c>
      <c r="P81" t="s">
        <v>57</v>
      </c>
      <c r="Q81" t="s">
        <v>57</v>
      </c>
      <c r="R81" t="s">
        <v>83</v>
      </c>
      <c r="S81" t="s">
        <v>57</v>
      </c>
      <c r="T81" t="s">
        <v>57</v>
      </c>
    </row>
    <row r="82" spans="1:20" x14ac:dyDescent="0.35">
      <c r="A82" t="s">
        <v>61</v>
      </c>
      <c r="B82" t="s">
        <v>62</v>
      </c>
      <c r="C82" t="s">
        <v>48</v>
      </c>
      <c r="D82" t="s">
        <v>49</v>
      </c>
      <c r="E82" t="s">
        <v>64</v>
      </c>
      <c r="F82" t="s">
        <v>357</v>
      </c>
      <c r="G82" t="s">
        <v>52</v>
      </c>
      <c r="H82" t="s">
        <v>76</v>
      </c>
      <c r="I82" t="s">
        <v>49</v>
      </c>
      <c r="J82" t="s">
        <v>82</v>
      </c>
      <c r="K82" t="s">
        <v>65</v>
      </c>
      <c r="L82" t="s">
        <v>65</v>
      </c>
      <c r="M82" t="s">
        <v>88</v>
      </c>
      <c r="N82" t="s">
        <v>65</v>
      </c>
      <c r="O82" t="s">
        <v>88</v>
      </c>
      <c r="P82" t="s">
        <v>49</v>
      </c>
      <c r="Q82" t="s">
        <v>49</v>
      </c>
      <c r="R82" t="s">
        <v>65</v>
      </c>
      <c r="S82" t="s">
        <v>49</v>
      </c>
      <c r="T82" t="s">
        <v>49</v>
      </c>
    </row>
    <row r="83" spans="1:20" x14ac:dyDescent="0.35">
      <c r="A83" t="s">
        <v>45</v>
      </c>
      <c r="B83" t="s">
        <v>47</v>
      </c>
      <c r="C83" t="s">
        <v>48</v>
      </c>
      <c r="D83" t="s">
        <v>49</v>
      </c>
      <c r="E83" t="s">
        <v>68</v>
      </c>
      <c r="F83" t="s">
        <v>95</v>
      </c>
      <c r="G83" t="s">
        <v>86</v>
      </c>
      <c r="H83" t="s">
        <v>53</v>
      </c>
      <c r="I83" t="s">
        <v>49</v>
      </c>
      <c r="J83" t="s">
        <v>54</v>
      </c>
      <c r="K83" t="s">
        <v>96</v>
      </c>
      <c r="L83" t="s">
        <v>65</v>
      </c>
      <c r="M83" t="s">
        <v>88</v>
      </c>
      <c r="N83" t="s">
        <v>65</v>
      </c>
      <c r="O83" t="s">
        <v>57</v>
      </c>
      <c r="P83" t="s">
        <v>88</v>
      </c>
      <c r="Q83" t="s">
        <v>49</v>
      </c>
      <c r="R83" t="s">
        <v>65</v>
      </c>
      <c r="S83" t="s">
        <v>57</v>
      </c>
      <c r="T83" t="s">
        <v>49</v>
      </c>
    </row>
    <row r="84" spans="1:20" x14ac:dyDescent="0.35">
      <c r="A84" t="s">
        <v>61</v>
      </c>
      <c r="B84" t="s">
        <v>47</v>
      </c>
      <c r="C84" t="s">
        <v>48</v>
      </c>
      <c r="D84" t="s">
        <v>49</v>
      </c>
      <c r="E84" t="s">
        <v>50</v>
      </c>
      <c r="F84" t="s">
        <v>85</v>
      </c>
      <c r="G84" t="s">
        <v>81</v>
      </c>
      <c r="H84" t="s">
        <v>76</v>
      </c>
      <c r="I84" t="s">
        <v>57</v>
      </c>
      <c r="J84" t="s">
        <v>82</v>
      </c>
      <c r="K84" t="s">
        <v>96</v>
      </c>
      <c r="L84" t="s">
        <v>78</v>
      </c>
      <c r="M84" t="s">
        <v>88</v>
      </c>
      <c r="N84" t="s">
        <v>58</v>
      </c>
      <c r="O84" t="s">
        <v>49</v>
      </c>
      <c r="P84" t="s">
        <v>57</v>
      </c>
      <c r="Q84" t="s">
        <v>49</v>
      </c>
      <c r="R84" t="s">
        <v>106</v>
      </c>
      <c r="S84" t="s">
        <v>57</v>
      </c>
      <c r="T84" t="s">
        <v>57</v>
      </c>
    </row>
    <row r="85" spans="1:20" x14ac:dyDescent="0.35">
      <c r="A85" t="s">
        <v>61</v>
      </c>
      <c r="B85" t="s">
        <v>62</v>
      </c>
      <c r="C85" t="s">
        <v>48</v>
      </c>
      <c r="D85" t="s">
        <v>49</v>
      </c>
      <c r="E85" t="s">
        <v>64</v>
      </c>
      <c r="F85" t="s">
        <v>95</v>
      </c>
      <c r="G85" t="s">
        <v>52</v>
      </c>
      <c r="H85" t="s">
        <v>53</v>
      </c>
      <c r="I85" t="s">
        <v>49</v>
      </c>
      <c r="J85" t="s">
        <v>54</v>
      </c>
      <c r="K85" t="s">
        <v>55</v>
      </c>
      <c r="L85" t="s">
        <v>78</v>
      </c>
      <c r="M85" t="s">
        <v>88</v>
      </c>
      <c r="N85" t="s">
        <v>65</v>
      </c>
      <c r="O85" t="s">
        <v>57</v>
      </c>
      <c r="P85" t="s">
        <v>88</v>
      </c>
      <c r="Q85" t="s">
        <v>49</v>
      </c>
      <c r="R85" t="s">
        <v>65</v>
      </c>
      <c r="S85" t="s">
        <v>49</v>
      </c>
      <c r="T85" t="s">
        <v>49</v>
      </c>
    </row>
    <row r="86" spans="1:20" x14ac:dyDescent="0.35">
      <c r="A86" t="s">
        <v>45</v>
      </c>
      <c r="B86" t="s">
        <v>47</v>
      </c>
      <c r="C86" t="s">
        <v>48</v>
      </c>
      <c r="D86" t="s">
        <v>49</v>
      </c>
      <c r="E86" t="s">
        <v>109</v>
      </c>
      <c r="F86" t="s">
        <v>99</v>
      </c>
      <c r="G86" t="s">
        <v>52</v>
      </c>
      <c r="H86" t="s">
        <v>53</v>
      </c>
      <c r="I86" t="s">
        <v>49</v>
      </c>
      <c r="J86" t="s">
        <v>54</v>
      </c>
      <c r="K86" t="s">
        <v>65</v>
      </c>
      <c r="L86" t="s">
        <v>72</v>
      </c>
      <c r="M86" t="s">
        <v>88</v>
      </c>
      <c r="N86" t="s">
        <v>126</v>
      </c>
      <c r="O86" t="s">
        <v>88</v>
      </c>
      <c r="P86" t="s">
        <v>88</v>
      </c>
      <c r="Q86" t="s">
        <v>49</v>
      </c>
      <c r="R86" t="s">
        <v>65</v>
      </c>
      <c r="S86" t="s">
        <v>88</v>
      </c>
      <c r="T86" t="s">
        <v>49</v>
      </c>
    </row>
    <row r="87" spans="1:20" x14ac:dyDescent="0.35">
      <c r="A87" t="s">
        <v>61</v>
      </c>
      <c r="B87" t="s">
        <v>62</v>
      </c>
      <c r="C87" t="s">
        <v>48</v>
      </c>
      <c r="D87" t="s">
        <v>57</v>
      </c>
      <c r="E87" t="s">
        <v>102</v>
      </c>
      <c r="F87" t="s">
        <v>51</v>
      </c>
      <c r="G87" t="s">
        <v>359</v>
      </c>
      <c r="H87" t="s">
        <v>76</v>
      </c>
      <c r="I87" t="s">
        <v>57</v>
      </c>
      <c r="J87" t="s">
        <v>53</v>
      </c>
      <c r="K87" t="s">
        <v>96</v>
      </c>
      <c r="L87" t="s">
        <v>56</v>
      </c>
      <c r="M87" t="s">
        <v>57</v>
      </c>
      <c r="N87" t="s">
        <v>66</v>
      </c>
      <c r="O87" t="s">
        <v>57</v>
      </c>
      <c r="P87" t="s">
        <v>57</v>
      </c>
      <c r="Q87" t="s">
        <v>49</v>
      </c>
      <c r="R87" t="s">
        <v>83</v>
      </c>
      <c r="S87" t="s">
        <v>57</v>
      </c>
      <c r="T87" t="s">
        <v>57</v>
      </c>
    </row>
    <row r="88" spans="1:20" x14ac:dyDescent="0.35">
      <c r="A88" t="s">
        <v>61</v>
      </c>
      <c r="B88" t="s">
        <v>47</v>
      </c>
      <c r="C88" t="s">
        <v>63</v>
      </c>
      <c r="D88" t="s">
        <v>57</v>
      </c>
      <c r="E88" t="s">
        <v>68</v>
      </c>
      <c r="F88" t="s">
        <v>95</v>
      </c>
      <c r="G88" t="s">
        <v>52</v>
      </c>
      <c r="H88" t="s">
        <v>76</v>
      </c>
      <c r="I88" t="s">
        <v>57</v>
      </c>
      <c r="J88" t="s">
        <v>82</v>
      </c>
      <c r="K88" t="s">
        <v>65</v>
      </c>
      <c r="L88" t="s">
        <v>65</v>
      </c>
      <c r="M88" t="s">
        <v>57</v>
      </c>
      <c r="N88" t="s">
        <v>105</v>
      </c>
      <c r="O88" t="s">
        <v>49</v>
      </c>
      <c r="P88" t="s">
        <v>49</v>
      </c>
      <c r="Q88" t="s">
        <v>57</v>
      </c>
      <c r="R88" t="s">
        <v>65</v>
      </c>
      <c r="S88" t="s">
        <v>57</v>
      </c>
      <c r="T88" t="s">
        <v>57</v>
      </c>
    </row>
    <row r="89" spans="1:20" x14ac:dyDescent="0.35">
      <c r="A89" t="s">
        <v>45</v>
      </c>
      <c r="B89" t="s">
        <v>47</v>
      </c>
      <c r="C89" t="s">
        <v>385</v>
      </c>
      <c r="D89" t="s">
        <v>49</v>
      </c>
      <c r="E89" t="s">
        <v>64</v>
      </c>
      <c r="F89" t="s">
        <v>357</v>
      </c>
      <c r="G89" t="s">
        <v>52</v>
      </c>
      <c r="H89" t="s">
        <v>87</v>
      </c>
      <c r="I89" t="s">
        <v>49</v>
      </c>
      <c r="J89" t="s">
        <v>54</v>
      </c>
      <c r="K89" t="s">
        <v>110</v>
      </c>
      <c r="L89" t="s">
        <v>111</v>
      </c>
      <c r="M89" t="s">
        <v>88</v>
      </c>
      <c r="N89" t="s">
        <v>65</v>
      </c>
      <c r="O89" t="s">
        <v>49</v>
      </c>
      <c r="P89" t="s">
        <v>49</v>
      </c>
      <c r="Q89" t="s">
        <v>49</v>
      </c>
      <c r="R89" t="s">
        <v>65</v>
      </c>
      <c r="S89" t="s">
        <v>57</v>
      </c>
      <c r="T89" t="s">
        <v>49</v>
      </c>
    </row>
    <row r="90" spans="1:20" x14ac:dyDescent="0.35">
      <c r="A90" t="s">
        <v>61</v>
      </c>
      <c r="B90" t="s">
        <v>47</v>
      </c>
      <c r="C90" t="s">
        <v>385</v>
      </c>
      <c r="D90" t="s">
        <v>57</v>
      </c>
      <c r="E90" t="s">
        <v>64</v>
      </c>
      <c r="F90" t="s">
        <v>51</v>
      </c>
      <c r="G90" t="s">
        <v>360</v>
      </c>
      <c r="H90" t="s">
        <v>53</v>
      </c>
      <c r="I90" t="s">
        <v>57</v>
      </c>
      <c r="J90" t="s">
        <v>53</v>
      </c>
      <c r="K90" t="s">
        <v>65</v>
      </c>
      <c r="L90" t="s">
        <v>78</v>
      </c>
      <c r="M90" t="s">
        <v>88</v>
      </c>
      <c r="N90" t="s">
        <v>105</v>
      </c>
      <c r="O90" t="s">
        <v>57</v>
      </c>
      <c r="P90" t="s">
        <v>49</v>
      </c>
      <c r="Q90" t="s">
        <v>49</v>
      </c>
      <c r="R90" t="s">
        <v>106</v>
      </c>
      <c r="S90" t="s">
        <v>57</v>
      </c>
      <c r="T90" t="s">
        <v>49</v>
      </c>
    </row>
    <row r="91" spans="1:20" x14ac:dyDescent="0.35">
      <c r="A91" t="s">
        <v>184</v>
      </c>
      <c r="B91" t="s">
        <v>47</v>
      </c>
      <c r="C91" t="s">
        <v>120</v>
      </c>
      <c r="D91" t="s">
        <v>49</v>
      </c>
      <c r="E91" t="s">
        <v>68</v>
      </c>
      <c r="F91" t="s">
        <v>95</v>
      </c>
      <c r="G91" t="s">
        <v>52</v>
      </c>
      <c r="H91" t="s">
        <v>76</v>
      </c>
      <c r="I91" t="s">
        <v>49</v>
      </c>
      <c r="J91" t="s">
        <v>54</v>
      </c>
      <c r="K91" t="s">
        <v>65</v>
      </c>
      <c r="L91" t="s">
        <v>56</v>
      </c>
      <c r="M91" t="s">
        <v>88</v>
      </c>
      <c r="N91" t="s">
        <v>65</v>
      </c>
      <c r="O91" t="s">
        <v>57</v>
      </c>
      <c r="P91" t="s">
        <v>57</v>
      </c>
      <c r="Q91" t="s">
        <v>49</v>
      </c>
      <c r="R91" t="s">
        <v>65</v>
      </c>
      <c r="S91" t="s">
        <v>57</v>
      </c>
      <c r="T91" t="s">
        <v>49</v>
      </c>
    </row>
    <row r="92" spans="1:20" x14ac:dyDescent="0.35">
      <c r="A92" t="s">
        <v>61</v>
      </c>
      <c r="B92" t="s">
        <v>94</v>
      </c>
      <c r="C92" t="s">
        <v>120</v>
      </c>
      <c r="D92" t="s">
        <v>49</v>
      </c>
      <c r="E92" t="s">
        <v>64</v>
      </c>
      <c r="F92" t="s">
        <v>51</v>
      </c>
      <c r="G92" t="s">
        <v>81</v>
      </c>
      <c r="H92" t="s">
        <v>100</v>
      </c>
      <c r="I92" t="s">
        <v>49</v>
      </c>
      <c r="J92" t="s">
        <v>54</v>
      </c>
      <c r="K92" t="s">
        <v>71</v>
      </c>
      <c r="L92" t="s">
        <v>111</v>
      </c>
      <c r="M92" t="s">
        <v>57</v>
      </c>
      <c r="N92" t="s">
        <v>58</v>
      </c>
      <c r="O92" t="s">
        <v>57</v>
      </c>
      <c r="P92" t="s">
        <v>88</v>
      </c>
      <c r="Q92" t="s">
        <v>49</v>
      </c>
      <c r="R92" t="s">
        <v>106</v>
      </c>
      <c r="S92" t="s">
        <v>57</v>
      </c>
      <c r="T92" t="s">
        <v>49</v>
      </c>
    </row>
    <row r="93" spans="1:20" x14ac:dyDescent="0.35">
      <c r="A93" t="s">
        <v>184</v>
      </c>
      <c r="B93" t="s">
        <v>47</v>
      </c>
      <c r="C93" t="s">
        <v>120</v>
      </c>
      <c r="D93" t="s">
        <v>49</v>
      </c>
      <c r="E93" t="s">
        <v>64</v>
      </c>
      <c r="F93" t="s">
        <v>51</v>
      </c>
      <c r="G93" t="s">
        <v>81</v>
      </c>
      <c r="H93" t="s">
        <v>76</v>
      </c>
      <c r="I93" t="s">
        <v>57</v>
      </c>
      <c r="J93" t="s">
        <v>70</v>
      </c>
      <c r="K93" t="s">
        <v>55</v>
      </c>
      <c r="L93" t="s">
        <v>78</v>
      </c>
      <c r="M93" t="s">
        <v>57</v>
      </c>
      <c r="N93" t="s">
        <v>65</v>
      </c>
      <c r="O93" t="s">
        <v>57</v>
      </c>
      <c r="P93" t="s">
        <v>88</v>
      </c>
      <c r="Q93" t="s">
        <v>49</v>
      </c>
      <c r="R93" t="s">
        <v>65</v>
      </c>
      <c r="S93" t="s">
        <v>57</v>
      </c>
      <c r="T93" t="s">
        <v>49</v>
      </c>
    </row>
    <row r="94" spans="1:20" x14ac:dyDescent="0.35">
      <c r="A94" t="s">
        <v>61</v>
      </c>
      <c r="B94" t="s">
        <v>47</v>
      </c>
      <c r="C94" t="s">
        <v>120</v>
      </c>
      <c r="D94" t="s">
        <v>49</v>
      </c>
      <c r="E94" t="s">
        <v>109</v>
      </c>
      <c r="F94" t="s">
        <v>51</v>
      </c>
      <c r="G94" t="s">
        <v>123</v>
      </c>
      <c r="H94" t="s">
        <v>53</v>
      </c>
      <c r="I94" t="s">
        <v>49</v>
      </c>
      <c r="J94" t="s">
        <v>54</v>
      </c>
      <c r="K94" t="s">
        <v>96</v>
      </c>
      <c r="L94" t="s">
        <v>78</v>
      </c>
      <c r="M94" t="s">
        <v>88</v>
      </c>
      <c r="N94" t="s">
        <v>65</v>
      </c>
      <c r="O94" t="s">
        <v>57</v>
      </c>
      <c r="P94" t="s">
        <v>88</v>
      </c>
      <c r="Q94" t="s">
        <v>49</v>
      </c>
      <c r="R94" t="s">
        <v>65</v>
      </c>
      <c r="S94" t="s">
        <v>88</v>
      </c>
      <c r="T94" t="s">
        <v>49</v>
      </c>
    </row>
    <row r="95" spans="1:20" x14ac:dyDescent="0.35">
      <c r="A95" t="s">
        <v>45</v>
      </c>
      <c r="B95" t="s">
        <v>94</v>
      </c>
      <c r="C95" t="s">
        <v>120</v>
      </c>
      <c r="D95" t="s">
        <v>49</v>
      </c>
      <c r="E95" t="s">
        <v>64</v>
      </c>
      <c r="F95" t="s">
        <v>357</v>
      </c>
      <c r="G95" t="s">
        <v>81</v>
      </c>
      <c r="H95" t="s">
        <v>53</v>
      </c>
      <c r="I95" t="s">
        <v>49</v>
      </c>
      <c r="J95" t="s">
        <v>54</v>
      </c>
      <c r="K95" t="s">
        <v>96</v>
      </c>
      <c r="L95" t="s">
        <v>65</v>
      </c>
      <c r="M95" t="s">
        <v>88</v>
      </c>
      <c r="N95" t="s">
        <v>105</v>
      </c>
      <c r="O95" t="s">
        <v>57</v>
      </c>
      <c r="P95" t="s">
        <v>88</v>
      </c>
      <c r="Q95" t="s">
        <v>49</v>
      </c>
      <c r="R95" t="s">
        <v>106</v>
      </c>
      <c r="S95" t="s">
        <v>57</v>
      </c>
      <c r="T95" t="s">
        <v>49</v>
      </c>
    </row>
    <row r="96" spans="1:20" x14ac:dyDescent="0.35">
      <c r="A96" t="s">
        <v>61</v>
      </c>
      <c r="B96" t="s">
        <v>94</v>
      </c>
      <c r="C96" t="s">
        <v>120</v>
      </c>
      <c r="D96" t="s">
        <v>57</v>
      </c>
      <c r="E96" t="s">
        <v>68</v>
      </c>
      <c r="F96" t="s">
        <v>51</v>
      </c>
      <c r="G96" t="s">
        <v>86</v>
      </c>
      <c r="H96" t="s">
        <v>53</v>
      </c>
      <c r="I96" t="s">
        <v>49</v>
      </c>
      <c r="J96" t="s">
        <v>54</v>
      </c>
      <c r="K96" t="s">
        <v>96</v>
      </c>
      <c r="L96" t="s">
        <v>72</v>
      </c>
      <c r="M96" t="s">
        <v>57</v>
      </c>
      <c r="N96" t="s">
        <v>65</v>
      </c>
      <c r="O96" t="s">
        <v>57</v>
      </c>
      <c r="P96" t="s">
        <v>49</v>
      </c>
      <c r="Q96" t="s">
        <v>49</v>
      </c>
      <c r="R96" t="s">
        <v>83</v>
      </c>
      <c r="S96" t="s">
        <v>57</v>
      </c>
      <c r="T96" t="s">
        <v>49</v>
      </c>
    </row>
    <row r="97" spans="1:20" x14ac:dyDescent="0.35">
      <c r="A97" t="s">
        <v>61</v>
      </c>
      <c r="B97" t="s">
        <v>47</v>
      </c>
      <c r="C97" t="s">
        <v>120</v>
      </c>
      <c r="D97" t="s">
        <v>49</v>
      </c>
      <c r="E97" t="s">
        <v>64</v>
      </c>
      <c r="F97" t="s">
        <v>357</v>
      </c>
      <c r="G97" t="s">
        <v>86</v>
      </c>
      <c r="H97" t="s">
        <v>100</v>
      </c>
      <c r="I97" t="s">
        <v>49</v>
      </c>
      <c r="J97" t="s">
        <v>54</v>
      </c>
      <c r="K97" t="s">
        <v>96</v>
      </c>
      <c r="L97" t="s">
        <v>65</v>
      </c>
      <c r="M97" t="s">
        <v>57</v>
      </c>
      <c r="N97" t="s">
        <v>65</v>
      </c>
      <c r="O97" t="s">
        <v>88</v>
      </c>
      <c r="P97" t="s">
        <v>49</v>
      </c>
      <c r="Q97" t="s">
        <v>49</v>
      </c>
      <c r="R97" t="s">
        <v>65</v>
      </c>
      <c r="S97" t="s">
        <v>57</v>
      </c>
      <c r="T97" t="s">
        <v>49</v>
      </c>
    </row>
    <row r="98" spans="1:20" x14ac:dyDescent="0.35">
      <c r="A98" t="s">
        <v>61</v>
      </c>
      <c r="B98" t="s">
        <v>104</v>
      </c>
      <c r="C98" t="s">
        <v>120</v>
      </c>
      <c r="D98" t="s">
        <v>49</v>
      </c>
      <c r="E98" t="s">
        <v>68</v>
      </c>
      <c r="F98" t="s">
        <v>95</v>
      </c>
      <c r="G98" t="s">
        <v>81</v>
      </c>
      <c r="H98" t="s">
        <v>53</v>
      </c>
      <c r="I98" t="s">
        <v>49</v>
      </c>
      <c r="J98" t="s">
        <v>54</v>
      </c>
      <c r="K98" t="s">
        <v>96</v>
      </c>
      <c r="L98" t="s">
        <v>78</v>
      </c>
      <c r="M98" t="s">
        <v>57</v>
      </c>
      <c r="N98" t="s">
        <v>66</v>
      </c>
      <c r="O98" t="s">
        <v>57</v>
      </c>
      <c r="P98" t="s">
        <v>57</v>
      </c>
      <c r="Q98" t="s">
        <v>49</v>
      </c>
      <c r="R98" t="s">
        <v>83</v>
      </c>
      <c r="S98" t="s">
        <v>57</v>
      </c>
      <c r="T98" t="s">
        <v>57</v>
      </c>
    </row>
    <row r="99" spans="1:20" x14ac:dyDescent="0.35">
      <c r="A99" t="s">
        <v>61</v>
      </c>
      <c r="B99" t="s">
        <v>62</v>
      </c>
      <c r="C99" t="s">
        <v>120</v>
      </c>
      <c r="D99" t="s">
        <v>49</v>
      </c>
      <c r="E99" t="s">
        <v>109</v>
      </c>
      <c r="F99" t="s">
        <v>95</v>
      </c>
      <c r="G99" t="s">
        <v>52</v>
      </c>
      <c r="H99" t="s">
        <v>53</v>
      </c>
      <c r="I99" t="s">
        <v>49</v>
      </c>
      <c r="J99" t="s">
        <v>77</v>
      </c>
      <c r="K99" t="s">
        <v>96</v>
      </c>
      <c r="L99" t="s">
        <v>78</v>
      </c>
      <c r="M99" t="s">
        <v>57</v>
      </c>
      <c r="N99" t="s">
        <v>58</v>
      </c>
      <c r="O99" t="s">
        <v>57</v>
      </c>
      <c r="P99" t="s">
        <v>57</v>
      </c>
      <c r="Q99" t="s">
        <v>49</v>
      </c>
      <c r="R99" t="s">
        <v>59</v>
      </c>
      <c r="S99" t="s">
        <v>57</v>
      </c>
      <c r="T99" t="s">
        <v>57</v>
      </c>
    </row>
    <row r="100" spans="1:20" x14ac:dyDescent="0.35">
      <c r="A100" t="s">
        <v>61</v>
      </c>
      <c r="B100" t="s">
        <v>62</v>
      </c>
      <c r="C100" t="s">
        <v>63</v>
      </c>
      <c r="D100" t="s">
        <v>49</v>
      </c>
      <c r="E100" t="s">
        <v>109</v>
      </c>
      <c r="F100" t="s">
        <v>92</v>
      </c>
      <c r="G100" t="s">
        <v>69</v>
      </c>
      <c r="H100" t="s">
        <v>77</v>
      </c>
      <c r="I100" t="s">
        <v>57</v>
      </c>
      <c r="J100" t="s">
        <v>70</v>
      </c>
      <c r="K100" t="s">
        <v>55</v>
      </c>
      <c r="L100" t="s">
        <v>111</v>
      </c>
      <c r="M100" t="s">
        <v>49</v>
      </c>
      <c r="N100" t="s">
        <v>105</v>
      </c>
      <c r="O100" t="s">
        <v>49</v>
      </c>
      <c r="P100" t="s">
        <v>49</v>
      </c>
      <c r="Q100" t="s">
        <v>49</v>
      </c>
      <c r="R100" t="s">
        <v>106</v>
      </c>
      <c r="S100" t="s">
        <v>88</v>
      </c>
      <c r="T100" t="s">
        <v>57</v>
      </c>
    </row>
    <row r="101" spans="1:20" x14ac:dyDescent="0.35">
      <c r="A101" t="s">
        <v>61</v>
      </c>
      <c r="B101" t="s">
        <v>47</v>
      </c>
      <c r="C101" t="s">
        <v>80</v>
      </c>
      <c r="D101" t="s">
        <v>49</v>
      </c>
      <c r="E101" t="s">
        <v>68</v>
      </c>
      <c r="F101" t="s">
        <v>95</v>
      </c>
      <c r="G101" t="s">
        <v>52</v>
      </c>
      <c r="H101" t="s">
        <v>76</v>
      </c>
      <c r="I101" t="s">
        <v>57</v>
      </c>
      <c r="J101" t="s">
        <v>364</v>
      </c>
      <c r="K101" t="s">
        <v>65</v>
      </c>
      <c r="L101" t="s">
        <v>78</v>
      </c>
      <c r="M101" t="s">
        <v>57</v>
      </c>
      <c r="N101" t="s">
        <v>65</v>
      </c>
      <c r="O101" t="s">
        <v>57</v>
      </c>
      <c r="P101" t="s">
        <v>49</v>
      </c>
      <c r="Q101" t="s">
        <v>49</v>
      </c>
      <c r="R101" t="s">
        <v>65</v>
      </c>
      <c r="S101" t="s">
        <v>57</v>
      </c>
      <c r="T101" t="s">
        <v>57</v>
      </c>
    </row>
    <row r="102" spans="1:20" x14ac:dyDescent="0.35">
      <c r="A102" t="s">
        <v>61</v>
      </c>
      <c r="B102" t="s">
        <v>62</v>
      </c>
      <c r="C102" t="s">
        <v>80</v>
      </c>
      <c r="D102" t="s">
        <v>49</v>
      </c>
      <c r="E102" t="s">
        <v>64</v>
      </c>
      <c r="F102" t="s">
        <v>357</v>
      </c>
      <c r="G102" t="s">
        <v>123</v>
      </c>
      <c r="H102" t="s">
        <v>53</v>
      </c>
      <c r="I102" t="s">
        <v>49</v>
      </c>
      <c r="J102" t="s">
        <v>54</v>
      </c>
      <c r="K102" t="s">
        <v>65</v>
      </c>
      <c r="L102" t="s">
        <v>72</v>
      </c>
      <c r="M102" t="s">
        <v>57</v>
      </c>
      <c r="N102" t="s">
        <v>66</v>
      </c>
      <c r="O102" t="s">
        <v>57</v>
      </c>
      <c r="P102" t="s">
        <v>88</v>
      </c>
      <c r="Q102" t="s">
        <v>49</v>
      </c>
      <c r="R102" t="s">
        <v>65</v>
      </c>
      <c r="S102" t="s">
        <v>57</v>
      </c>
      <c r="T102" t="s">
        <v>49</v>
      </c>
    </row>
    <row r="103" spans="1:20" x14ac:dyDescent="0.35">
      <c r="A103" t="s">
        <v>61</v>
      </c>
      <c r="B103" t="s">
        <v>104</v>
      </c>
      <c r="C103" t="s">
        <v>80</v>
      </c>
      <c r="D103" t="s">
        <v>49</v>
      </c>
      <c r="E103" t="s">
        <v>68</v>
      </c>
      <c r="F103" t="s">
        <v>51</v>
      </c>
      <c r="G103" t="s">
        <v>81</v>
      </c>
      <c r="H103" t="s">
        <v>87</v>
      </c>
      <c r="I103" t="s">
        <v>57</v>
      </c>
      <c r="J103" t="s">
        <v>87</v>
      </c>
      <c r="K103" t="s">
        <v>55</v>
      </c>
      <c r="L103" t="s">
        <v>78</v>
      </c>
      <c r="M103" t="s">
        <v>57</v>
      </c>
      <c r="N103" t="s">
        <v>65</v>
      </c>
      <c r="O103" t="s">
        <v>57</v>
      </c>
      <c r="P103" t="s">
        <v>49</v>
      </c>
      <c r="Q103" t="s">
        <v>49</v>
      </c>
      <c r="R103" t="s">
        <v>83</v>
      </c>
      <c r="S103" t="s">
        <v>49</v>
      </c>
      <c r="T103" t="s">
        <v>57</v>
      </c>
    </row>
    <row r="104" spans="1:20" x14ac:dyDescent="0.35">
      <c r="A104" t="s">
        <v>45</v>
      </c>
      <c r="B104" t="s">
        <v>62</v>
      </c>
      <c r="C104" t="s">
        <v>80</v>
      </c>
      <c r="D104" t="s">
        <v>57</v>
      </c>
      <c r="E104" t="s">
        <v>68</v>
      </c>
      <c r="F104" t="s">
        <v>85</v>
      </c>
      <c r="G104" t="s">
        <v>86</v>
      </c>
      <c r="H104" t="s">
        <v>87</v>
      </c>
      <c r="I104" t="s">
        <v>57</v>
      </c>
      <c r="J104" t="s">
        <v>362</v>
      </c>
      <c r="K104" t="s">
        <v>55</v>
      </c>
      <c r="L104" t="s">
        <v>78</v>
      </c>
      <c r="M104" t="s">
        <v>57</v>
      </c>
      <c r="N104" t="s">
        <v>66</v>
      </c>
      <c r="O104" t="s">
        <v>57</v>
      </c>
      <c r="P104" t="s">
        <v>88</v>
      </c>
      <c r="Q104" t="s">
        <v>49</v>
      </c>
      <c r="R104" t="s">
        <v>83</v>
      </c>
      <c r="S104" t="s">
        <v>57</v>
      </c>
      <c r="T104" t="s">
        <v>49</v>
      </c>
    </row>
    <row r="105" spans="1:20" x14ac:dyDescent="0.35">
      <c r="A105" t="s">
        <v>61</v>
      </c>
      <c r="B105" t="s">
        <v>62</v>
      </c>
      <c r="C105" t="s">
        <v>120</v>
      </c>
      <c r="D105" t="s">
        <v>49</v>
      </c>
      <c r="E105" t="s">
        <v>64</v>
      </c>
      <c r="F105" t="s">
        <v>51</v>
      </c>
      <c r="G105" t="s">
        <v>358</v>
      </c>
      <c r="H105" t="s">
        <v>53</v>
      </c>
      <c r="I105" t="s">
        <v>49</v>
      </c>
      <c r="J105" t="s">
        <v>54</v>
      </c>
      <c r="K105" t="s">
        <v>110</v>
      </c>
      <c r="L105" t="s">
        <v>111</v>
      </c>
      <c r="M105" t="s">
        <v>57</v>
      </c>
      <c r="N105" t="s">
        <v>66</v>
      </c>
      <c r="O105" t="s">
        <v>57</v>
      </c>
      <c r="P105" t="s">
        <v>49</v>
      </c>
      <c r="Q105" t="s">
        <v>49</v>
      </c>
      <c r="R105" t="s">
        <v>59</v>
      </c>
      <c r="S105" t="s">
        <v>57</v>
      </c>
      <c r="T105" t="s">
        <v>49</v>
      </c>
    </row>
    <row r="106" spans="1:20" x14ac:dyDescent="0.35">
      <c r="A106" t="s">
        <v>61</v>
      </c>
      <c r="B106" t="s">
        <v>62</v>
      </c>
      <c r="C106" t="s">
        <v>80</v>
      </c>
      <c r="D106" t="s">
        <v>49</v>
      </c>
      <c r="E106" t="s">
        <v>68</v>
      </c>
      <c r="F106" t="s">
        <v>357</v>
      </c>
      <c r="G106" t="s">
        <v>52</v>
      </c>
      <c r="H106" t="s">
        <v>77</v>
      </c>
      <c r="I106" t="s">
        <v>49</v>
      </c>
      <c r="J106" t="s">
        <v>54</v>
      </c>
      <c r="K106" t="s">
        <v>65</v>
      </c>
      <c r="L106" t="s">
        <v>72</v>
      </c>
      <c r="M106" t="s">
        <v>88</v>
      </c>
      <c r="N106" t="s">
        <v>105</v>
      </c>
      <c r="O106" t="s">
        <v>88</v>
      </c>
      <c r="P106" t="s">
        <v>88</v>
      </c>
      <c r="Q106" t="s">
        <v>49</v>
      </c>
      <c r="R106" t="s">
        <v>65</v>
      </c>
      <c r="S106" t="s">
        <v>88</v>
      </c>
      <c r="T106" t="s">
        <v>49</v>
      </c>
    </row>
    <row r="107" spans="1:20" x14ac:dyDescent="0.35">
      <c r="A107" t="s">
        <v>45</v>
      </c>
      <c r="B107" t="s">
        <v>62</v>
      </c>
      <c r="C107" t="s">
        <v>120</v>
      </c>
      <c r="D107" t="s">
        <v>57</v>
      </c>
      <c r="E107" t="s">
        <v>64</v>
      </c>
      <c r="F107" t="s">
        <v>51</v>
      </c>
      <c r="G107" t="s">
        <v>86</v>
      </c>
      <c r="H107" t="s">
        <v>53</v>
      </c>
      <c r="I107" t="s">
        <v>49</v>
      </c>
      <c r="J107" t="s">
        <v>54</v>
      </c>
      <c r="K107" t="s">
        <v>65</v>
      </c>
      <c r="L107" t="s">
        <v>72</v>
      </c>
      <c r="M107" t="s">
        <v>57</v>
      </c>
      <c r="N107" t="s">
        <v>66</v>
      </c>
      <c r="O107" t="s">
        <v>57</v>
      </c>
      <c r="P107" t="s">
        <v>88</v>
      </c>
      <c r="Q107" t="s">
        <v>49</v>
      </c>
      <c r="R107" t="s">
        <v>65</v>
      </c>
      <c r="S107" t="s">
        <v>57</v>
      </c>
      <c r="T107" t="s">
        <v>49</v>
      </c>
    </row>
    <row r="108" spans="1:20" x14ac:dyDescent="0.35">
      <c r="A108" t="s">
        <v>61</v>
      </c>
      <c r="B108" t="s">
        <v>47</v>
      </c>
      <c r="C108" t="s">
        <v>80</v>
      </c>
      <c r="D108" t="s">
        <v>57</v>
      </c>
      <c r="E108" t="s">
        <v>64</v>
      </c>
      <c r="F108" t="s">
        <v>95</v>
      </c>
      <c r="G108" t="s">
        <v>52</v>
      </c>
      <c r="H108" t="s">
        <v>53</v>
      </c>
      <c r="I108" t="s">
        <v>57</v>
      </c>
      <c r="J108" t="s">
        <v>77</v>
      </c>
      <c r="K108" t="s">
        <v>65</v>
      </c>
      <c r="L108" t="s">
        <v>78</v>
      </c>
      <c r="M108" t="s">
        <v>57</v>
      </c>
      <c r="N108" t="s">
        <v>66</v>
      </c>
      <c r="O108" t="s">
        <v>57</v>
      </c>
      <c r="P108" t="s">
        <v>57</v>
      </c>
      <c r="Q108" t="s">
        <v>49</v>
      </c>
      <c r="R108" t="s">
        <v>65</v>
      </c>
      <c r="S108" t="s">
        <v>57</v>
      </c>
      <c r="T108" t="s">
        <v>57</v>
      </c>
    </row>
    <row r="109" spans="1:20" x14ac:dyDescent="0.35">
      <c r="A109" t="s">
        <v>45</v>
      </c>
      <c r="B109" t="s">
        <v>47</v>
      </c>
      <c r="C109" t="s">
        <v>80</v>
      </c>
      <c r="D109" t="s">
        <v>49</v>
      </c>
      <c r="E109" t="s">
        <v>64</v>
      </c>
      <c r="F109" t="s">
        <v>51</v>
      </c>
      <c r="G109" t="s">
        <v>86</v>
      </c>
      <c r="H109" t="s">
        <v>53</v>
      </c>
      <c r="I109" t="s">
        <v>49</v>
      </c>
      <c r="J109" t="s">
        <v>54</v>
      </c>
      <c r="K109" t="s">
        <v>96</v>
      </c>
      <c r="L109" t="s">
        <v>65</v>
      </c>
      <c r="M109" t="s">
        <v>57</v>
      </c>
      <c r="N109" t="s">
        <v>66</v>
      </c>
      <c r="O109" t="s">
        <v>57</v>
      </c>
      <c r="P109" t="s">
        <v>49</v>
      </c>
      <c r="Q109" t="s">
        <v>49</v>
      </c>
      <c r="R109" t="s">
        <v>65</v>
      </c>
      <c r="S109" t="s">
        <v>88</v>
      </c>
      <c r="T109" t="s">
        <v>49</v>
      </c>
    </row>
    <row r="110" spans="1:20" x14ac:dyDescent="0.35">
      <c r="A110" t="s">
        <v>61</v>
      </c>
      <c r="B110" t="s">
        <v>94</v>
      </c>
      <c r="C110" t="s">
        <v>80</v>
      </c>
      <c r="D110" t="s">
        <v>57</v>
      </c>
      <c r="E110" t="s">
        <v>68</v>
      </c>
      <c r="F110" t="s">
        <v>51</v>
      </c>
      <c r="G110" t="s">
        <v>86</v>
      </c>
      <c r="H110" t="s">
        <v>53</v>
      </c>
      <c r="I110" t="s">
        <v>49</v>
      </c>
      <c r="J110" t="s">
        <v>54</v>
      </c>
      <c r="K110" t="s">
        <v>65</v>
      </c>
      <c r="L110" t="s">
        <v>65</v>
      </c>
      <c r="M110" t="s">
        <v>57</v>
      </c>
      <c r="N110" t="s">
        <v>66</v>
      </c>
      <c r="O110" t="s">
        <v>57</v>
      </c>
      <c r="P110" t="s">
        <v>49</v>
      </c>
      <c r="Q110" t="s">
        <v>49</v>
      </c>
      <c r="R110" t="s">
        <v>65</v>
      </c>
      <c r="S110" t="s">
        <v>57</v>
      </c>
      <c r="T110" t="s">
        <v>49</v>
      </c>
    </row>
    <row r="111" spans="1:20" x14ac:dyDescent="0.35">
      <c r="A111" t="s">
        <v>61</v>
      </c>
      <c r="B111" t="s">
        <v>47</v>
      </c>
      <c r="C111" t="s">
        <v>80</v>
      </c>
      <c r="D111" t="s">
        <v>49</v>
      </c>
      <c r="E111" t="s">
        <v>109</v>
      </c>
      <c r="F111" t="s">
        <v>51</v>
      </c>
      <c r="G111" t="s">
        <v>69</v>
      </c>
      <c r="H111" t="s">
        <v>53</v>
      </c>
      <c r="I111" t="s">
        <v>57</v>
      </c>
      <c r="J111" t="s">
        <v>54</v>
      </c>
      <c r="K111" t="s">
        <v>96</v>
      </c>
      <c r="L111" t="s">
        <v>78</v>
      </c>
      <c r="M111" t="s">
        <v>57</v>
      </c>
      <c r="N111" t="s">
        <v>58</v>
      </c>
      <c r="O111" t="s">
        <v>57</v>
      </c>
      <c r="P111" t="s">
        <v>57</v>
      </c>
      <c r="Q111" t="s">
        <v>49</v>
      </c>
      <c r="R111" t="s">
        <v>65</v>
      </c>
      <c r="S111" t="s">
        <v>57</v>
      </c>
      <c r="T111" t="s">
        <v>49</v>
      </c>
    </row>
    <row r="112" spans="1:20" x14ac:dyDescent="0.35">
      <c r="A112" t="s">
        <v>61</v>
      </c>
      <c r="B112" t="s">
        <v>94</v>
      </c>
      <c r="C112" t="s">
        <v>80</v>
      </c>
      <c r="D112" t="s">
        <v>57</v>
      </c>
      <c r="E112" t="s">
        <v>68</v>
      </c>
      <c r="F112" t="s">
        <v>95</v>
      </c>
      <c r="G112" t="s">
        <v>360</v>
      </c>
      <c r="H112" t="s">
        <v>53</v>
      </c>
      <c r="I112" t="s">
        <v>361</v>
      </c>
      <c r="J112" t="s">
        <v>54</v>
      </c>
      <c r="K112" t="s">
        <v>65</v>
      </c>
      <c r="L112" t="s">
        <v>65</v>
      </c>
      <c r="M112" t="s">
        <v>57</v>
      </c>
      <c r="N112" t="s">
        <v>65</v>
      </c>
      <c r="O112" t="s">
        <v>49</v>
      </c>
      <c r="P112" t="s">
        <v>49</v>
      </c>
      <c r="Q112" t="s">
        <v>49</v>
      </c>
      <c r="R112" t="s">
        <v>65</v>
      </c>
      <c r="S112" t="s">
        <v>57</v>
      </c>
      <c r="T112" t="s">
        <v>57</v>
      </c>
    </row>
    <row r="113" spans="1:20" x14ac:dyDescent="0.35">
      <c r="A113" t="s">
        <v>61</v>
      </c>
      <c r="B113" t="s">
        <v>104</v>
      </c>
      <c r="C113" t="s">
        <v>63</v>
      </c>
      <c r="D113" t="s">
        <v>49</v>
      </c>
      <c r="E113" t="s">
        <v>64</v>
      </c>
      <c r="F113" t="s">
        <v>95</v>
      </c>
      <c r="G113" t="s">
        <v>52</v>
      </c>
      <c r="H113" t="s">
        <v>77</v>
      </c>
      <c r="I113" t="s">
        <v>49</v>
      </c>
      <c r="J113" t="s">
        <v>77</v>
      </c>
      <c r="K113" t="s">
        <v>96</v>
      </c>
      <c r="L113" t="s">
        <v>72</v>
      </c>
      <c r="M113" t="s">
        <v>57</v>
      </c>
      <c r="N113" t="s">
        <v>65</v>
      </c>
      <c r="O113" t="s">
        <v>57</v>
      </c>
      <c r="P113" t="s">
        <v>49</v>
      </c>
      <c r="Q113" t="s">
        <v>49</v>
      </c>
      <c r="R113" t="s">
        <v>83</v>
      </c>
      <c r="S113" t="s">
        <v>57</v>
      </c>
      <c r="T113" t="s">
        <v>49</v>
      </c>
    </row>
    <row r="114" spans="1:20" x14ac:dyDescent="0.35">
      <c r="A114" t="s">
        <v>45</v>
      </c>
      <c r="B114" t="s">
        <v>94</v>
      </c>
      <c r="C114" t="s">
        <v>48</v>
      </c>
      <c r="D114" t="s">
        <v>49</v>
      </c>
      <c r="E114" t="s">
        <v>64</v>
      </c>
      <c r="F114" t="s">
        <v>99</v>
      </c>
      <c r="G114" t="s">
        <v>52</v>
      </c>
      <c r="H114" t="s">
        <v>100</v>
      </c>
      <c r="I114" t="s">
        <v>49</v>
      </c>
      <c r="J114" t="s">
        <v>53</v>
      </c>
      <c r="K114" t="s">
        <v>71</v>
      </c>
      <c r="L114" t="s">
        <v>72</v>
      </c>
      <c r="M114" t="s">
        <v>57</v>
      </c>
      <c r="N114" t="s">
        <v>65</v>
      </c>
      <c r="O114" t="s">
        <v>57</v>
      </c>
      <c r="P114" t="s">
        <v>49</v>
      </c>
      <c r="Q114" t="s">
        <v>49</v>
      </c>
      <c r="R114" t="s">
        <v>65</v>
      </c>
      <c r="S114" t="s">
        <v>57</v>
      </c>
      <c r="T114" t="s">
        <v>49</v>
      </c>
    </row>
    <row r="115" spans="1:20" x14ac:dyDescent="0.35">
      <c r="A115" t="s">
        <v>61</v>
      </c>
      <c r="B115" t="s">
        <v>62</v>
      </c>
      <c r="C115" t="s">
        <v>80</v>
      </c>
      <c r="D115" t="s">
        <v>57</v>
      </c>
      <c r="E115" t="s">
        <v>50</v>
      </c>
      <c r="F115" t="s">
        <v>85</v>
      </c>
      <c r="G115" t="s">
        <v>86</v>
      </c>
      <c r="H115" t="s">
        <v>77</v>
      </c>
      <c r="I115" t="s">
        <v>57</v>
      </c>
      <c r="J115" t="s">
        <v>77</v>
      </c>
      <c r="K115" t="s">
        <v>55</v>
      </c>
      <c r="L115" t="s">
        <v>56</v>
      </c>
      <c r="M115" t="s">
        <v>57</v>
      </c>
      <c r="N115" t="s">
        <v>58</v>
      </c>
      <c r="O115" t="s">
        <v>57</v>
      </c>
      <c r="P115" t="s">
        <v>57</v>
      </c>
      <c r="Q115" t="s">
        <v>57</v>
      </c>
      <c r="R115" t="s">
        <v>83</v>
      </c>
      <c r="S115" t="s">
        <v>57</v>
      </c>
      <c r="T115" t="s">
        <v>57</v>
      </c>
    </row>
    <row r="116" spans="1:20" x14ac:dyDescent="0.35">
      <c r="A116" t="s">
        <v>45</v>
      </c>
      <c r="B116" t="s">
        <v>47</v>
      </c>
      <c r="C116" t="s">
        <v>385</v>
      </c>
      <c r="D116" t="s">
        <v>57</v>
      </c>
      <c r="E116" t="s">
        <v>68</v>
      </c>
      <c r="F116" t="s">
        <v>85</v>
      </c>
      <c r="G116" t="s">
        <v>359</v>
      </c>
      <c r="H116" t="s">
        <v>53</v>
      </c>
      <c r="I116" t="s">
        <v>57</v>
      </c>
      <c r="J116" t="s">
        <v>82</v>
      </c>
      <c r="K116" t="s">
        <v>55</v>
      </c>
      <c r="L116" t="s">
        <v>78</v>
      </c>
      <c r="M116" t="s">
        <v>57</v>
      </c>
      <c r="N116" t="s">
        <v>66</v>
      </c>
      <c r="O116" t="s">
        <v>57</v>
      </c>
      <c r="P116" t="s">
        <v>57</v>
      </c>
      <c r="Q116" t="s">
        <v>49</v>
      </c>
      <c r="R116" t="s">
        <v>59</v>
      </c>
      <c r="S116" t="s">
        <v>88</v>
      </c>
      <c r="T116" t="s">
        <v>49</v>
      </c>
    </row>
    <row r="117" spans="1:20" x14ac:dyDescent="0.35">
      <c r="A117" t="s">
        <v>45</v>
      </c>
      <c r="B117" t="s">
        <v>47</v>
      </c>
      <c r="C117" t="s">
        <v>80</v>
      </c>
      <c r="D117" t="s">
        <v>49</v>
      </c>
      <c r="E117" t="s">
        <v>64</v>
      </c>
      <c r="F117" t="s">
        <v>357</v>
      </c>
      <c r="G117" t="s">
        <v>360</v>
      </c>
      <c r="H117" t="s">
        <v>53</v>
      </c>
      <c r="I117" t="s">
        <v>57</v>
      </c>
      <c r="J117" t="s">
        <v>53</v>
      </c>
      <c r="K117" t="s">
        <v>96</v>
      </c>
      <c r="L117" t="s">
        <v>78</v>
      </c>
      <c r="M117" t="s">
        <v>49</v>
      </c>
      <c r="N117" t="s">
        <v>105</v>
      </c>
      <c r="O117" t="s">
        <v>49</v>
      </c>
      <c r="P117" t="s">
        <v>49</v>
      </c>
      <c r="Q117" t="s">
        <v>49</v>
      </c>
      <c r="R117" t="s">
        <v>59</v>
      </c>
      <c r="S117" t="s">
        <v>49</v>
      </c>
      <c r="T117" t="s">
        <v>49</v>
      </c>
    </row>
    <row r="118" spans="1:20" x14ac:dyDescent="0.35">
      <c r="A118" t="s">
        <v>61</v>
      </c>
      <c r="B118" t="s">
        <v>62</v>
      </c>
      <c r="C118" t="s">
        <v>385</v>
      </c>
      <c r="D118" t="s">
        <v>49</v>
      </c>
      <c r="E118" t="s">
        <v>50</v>
      </c>
      <c r="F118" t="s">
        <v>95</v>
      </c>
      <c r="G118" t="s">
        <v>81</v>
      </c>
      <c r="H118" t="s">
        <v>53</v>
      </c>
      <c r="I118" t="s">
        <v>49</v>
      </c>
      <c r="J118" t="s">
        <v>54</v>
      </c>
      <c r="K118" t="s">
        <v>96</v>
      </c>
      <c r="L118" t="s">
        <v>78</v>
      </c>
      <c r="M118" t="s">
        <v>57</v>
      </c>
      <c r="N118" t="s">
        <v>66</v>
      </c>
      <c r="O118" t="s">
        <v>88</v>
      </c>
      <c r="P118" t="s">
        <v>49</v>
      </c>
      <c r="Q118" t="s">
        <v>49</v>
      </c>
      <c r="R118" t="s">
        <v>59</v>
      </c>
      <c r="S118" t="s">
        <v>57</v>
      </c>
      <c r="T118" t="s">
        <v>49</v>
      </c>
    </row>
    <row r="119" spans="1:20" x14ac:dyDescent="0.35">
      <c r="A119" t="s">
        <v>45</v>
      </c>
      <c r="B119" t="s">
        <v>62</v>
      </c>
      <c r="C119" t="s">
        <v>385</v>
      </c>
      <c r="D119" t="s">
        <v>57</v>
      </c>
      <c r="E119" t="s">
        <v>68</v>
      </c>
      <c r="F119" t="s">
        <v>51</v>
      </c>
      <c r="G119" t="s">
        <v>81</v>
      </c>
      <c r="H119" t="s">
        <v>53</v>
      </c>
      <c r="I119" t="s">
        <v>49</v>
      </c>
      <c r="J119" t="s">
        <v>54</v>
      </c>
      <c r="K119" t="s">
        <v>55</v>
      </c>
      <c r="L119" t="s">
        <v>65</v>
      </c>
      <c r="M119" t="s">
        <v>88</v>
      </c>
      <c r="N119" t="s">
        <v>65</v>
      </c>
      <c r="O119" t="s">
        <v>88</v>
      </c>
      <c r="P119" t="s">
        <v>88</v>
      </c>
      <c r="Q119" t="s">
        <v>49</v>
      </c>
      <c r="R119" t="s">
        <v>65</v>
      </c>
      <c r="S119" t="s">
        <v>57</v>
      </c>
      <c r="T119" t="s">
        <v>49</v>
      </c>
    </row>
    <row r="120" spans="1:20" x14ac:dyDescent="0.35">
      <c r="A120" t="s">
        <v>45</v>
      </c>
      <c r="B120" t="s">
        <v>47</v>
      </c>
      <c r="C120" t="s">
        <v>385</v>
      </c>
      <c r="D120" t="s">
        <v>49</v>
      </c>
      <c r="E120" t="s">
        <v>68</v>
      </c>
      <c r="F120" t="s">
        <v>95</v>
      </c>
      <c r="G120" t="s">
        <v>52</v>
      </c>
      <c r="H120" t="s">
        <v>53</v>
      </c>
      <c r="I120" t="s">
        <v>49</v>
      </c>
      <c r="J120" t="s">
        <v>54</v>
      </c>
      <c r="K120" t="s">
        <v>65</v>
      </c>
      <c r="L120" t="s">
        <v>65</v>
      </c>
      <c r="M120" t="s">
        <v>88</v>
      </c>
      <c r="N120" t="s">
        <v>65</v>
      </c>
      <c r="O120" t="s">
        <v>88</v>
      </c>
      <c r="P120" t="s">
        <v>88</v>
      </c>
      <c r="Q120" t="s">
        <v>49</v>
      </c>
      <c r="R120" t="s">
        <v>65</v>
      </c>
      <c r="S120" t="s">
        <v>88</v>
      </c>
      <c r="T120" t="s">
        <v>49</v>
      </c>
    </row>
    <row r="121" spans="1:20" x14ac:dyDescent="0.35">
      <c r="A121" t="s">
        <v>45</v>
      </c>
      <c r="B121" t="s">
        <v>94</v>
      </c>
      <c r="C121" t="s">
        <v>80</v>
      </c>
      <c r="D121" t="s">
        <v>49</v>
      </c>
      <c r="E121" t="s">
        <v>64</v>
      </c>
      <c r="F121" t="s">
        <v>357</v>
      </c>
      <c r="G121" t="s">
        <v>52</v>
      </c>
      <c r="H121" t="s">
        <v>53</v>
      </c>
      <c r="I121" t="s">
        <v>49</v>
      </c>
      <c r="J121" t="s">
        <v>54</v>
      </c>
      <c r="K121" t="s">
        <v>65</v>
      </c>
      <c r="L121" t="s">
        <v>65</v>
      </c>
      <c r="M121" t="s">
        <v>49</v>
      </c>
      <c r="N121" t="s">
        <v>105</v>
      </c>
      <c r="O121" t="s">
        <v>88</v>
      </c>
      <c r="P121" t="s">
        <v>88</v>
      </c>
      <c r="Q121" t="s">
        <v>49</v>
      </c>
      <c r="R121" t="s">
        <v>65</v>
      </c>
      <c r="S121" t="s">
        <v>57</v>
      </c>
      <c r="T121" t="s">
        <v>49</v>
      </c>
    </row>
    <row r="122" spans="1:20" x14ac:dyDescent="0.35">
      <c r="A122" t="s">
        <v>184</v>
      </c>
      <c r="B122" t="s">
        <v>47</v>
      </c>
      <c r="C122" t="s">
        <v>385</v>
      </c>
      <c r="D122" t="s">
        <v>49</v>
      </c>
      <c r="E122" t="s">
        <v>64</v>
      </c>
      <c r="F122" t="s">
        <v>92</v>
      </c>
      <c r="G122" t="s">
        <v>52</v>
      </c>
      <c r="H122" t="s">
        <v>53</v>
      </c>
      <c r="I122" t="s">
        <v>49</v>
      </c>
      <c r="J122" t="s">
        <v>54</v>
      </c>
      <c r="K122" t="s">
        <v>71</v>
      </c>
      <c r="L122" t="s">
        <v>72</v>
      </c>
      <c r="M122" t="s">
        <v>88</v>
      </c>
      <c r="N122" t="s">
        <v>66</v>
      </c>
      <c r="O122" t="s">
        <v>57</v>
      </c>
      <c r="P122" t="s">
        <v>49</v>
      </c>
      <c r="Q122" t="s">
        <v>49</v>
      </c>
      <c r="R122" t="s">
        <v>83</v>
      </c>
      <c r="S122" t="s">
        <v>57</v>
      </c>
      <c r="T122" t="s">
        <v>49</v>
      </c>
    </row>
    <row r="123" spans="1:20" x14ac:dyDescent="0.35">
      <c r="A123" t="s">
        <v>45</v>
      </c>
      <c r="B123" t="s">
        <v>62</v>
      </c>
      <c r="C123" t="s">
        <v>385</v>
      </c>
      <c r="D123" t="s">
        <v>57</v>
      </c>
      <c r="E123" t="s">
        <v>102</v>
      </c>
      <c r="F123" t="s">
        <v>85</v>
      </c>
      <c r="G123" t="s">
        <v>52</v>
      </c>
      <c r="H123" t="s">
        <v>53</v>
      </c>
      <c r="I123" t="s">
        <v>57</v>
      </c>
      <c r="J123" t="s">
        <v>363</v>
      </c>
      <c r="K123" t="s">
        <v>55</v>
      </c>
      <c r="L123" t="s">
        <v>111</v>
      </c>
      <c r="M123" t="s">
        <v>57</v>
      </c>
      <c r="N123" t="s">
        <v>58</v>
      </c>
      <c r="O123" t="s">
        <v>57</v>
      </c>
      <c r="P123" t="s">
        <v>88</v>
      </c>
      <c r="Q123" t="s">
        <v>49</v>
      </c>
      <c r="R123" t="s">
        <v>83</v>
      </c>
      <c r="S123" t="s">
        <v>57</v>
      </c>
      <c r="T123" t="s">
        <v>49</v>
      </c>
    </row>
    <row r="124" spans="1:20" x14ac:dyDescent="0.35">
      <c r="A124" t="s">
        <v>45</v>
      </c>
      <c r="B124" t="s">
        <v>47</v>
      </c>
      <c r="C124" t="s">
        <v>80</v>
      </c>
      <c r="D124" t="s">
        <v>57</v>
      </c>
      <c r="E124" t="s">
        <v>64</v>
      </c>
      <c r="F124" t="s">
        <v>95</v>
      </c>
      <c r="G124" t="s">
        <v>81</v>
      </c>
      <c r="H124" t="s">
        <v>53</v>
      </c>
      <c r="I124" t="s">
        <v>49</v>
      </c>
      <c r="J124" t="s">
        <v>53</v>
      </c>
      <c r="K124" t="s">
        <v>96</v>
      </c>
      <c r="L124" t="s">
        <v>65</v>
      </c>
      <c r="M124" t="s">
        <v>57</v>
      </c>
      <c r="N124" t="s">
        <v>65</v>
      </c>
      <c r="O124" t="s">
        <v>57</v>
      </c>
      <c r="P124" t="s">
        <v>49</v>
      </c>
      <c r="Q124" t="s">
        <v>49</v>
      </c>
      <c r="R124" t="s">
        <v>65</v>
      </c>
      <c r="S124" t="s">
        <v>57</v>
      </c>
      <c r="T124" t="s">
        <v>49</v>
      </c>
    </row>
    <row r="125" spans="1:20" x14ac:dyDescent="0.35">
      <c r="A125" t="s">
        <v>61</v>
      </c>
      <c r="B125" t="s">
        <v>104</v>
      </c>
      <c r="C125" t="s">
        <v>385</v>
      </c>
      <c r="D125" t="s">
        <v>57</v>
      </c>
      <c r="E125" t="s">
        <v>102</v>
      </c>
      <c r="F125" t="s">
        <v>51</v>
      </c>
      <c r="G125" t="s">
        <v>69</v>
      </c>
      <c r="H125" t="s">
        <v>53</v>
      </c>
      <c r="I125" t="s">
        <v>49</v>
      </c>
      <c r="J125" t="s">
        <v>54</v>
      </c>
      <c r="K125" t="s">
        <v>55</v>
      </c>
      <c r="L125" t="s">
        <v>56</v>
      </c>
      <c r="M125" t="s">
        <v>57</v>
      </c>
      <c r="N125" t="s">
        <v>58</v>
      </c>
      <c r="O125" t="s">
        <v>57</v>
      </c>
      <c r="P125" t="s">
        <v>57</v>
      </c>
      <c r="Q125" t="s">
        <v>49</v>
      </c>
      <c r="R125" t="s">
        <v>83</v>
      </c>
      <c r="S125" t="s">
        <v>57</v>
      </c>
      <c r="T125" t="s">
        <v>49</v>
      </c>
    </row>
    <row r="126" spans="1:20" x14ac:dyDescent="0.35">
      <c r="A126" t="s">
        <v>45</v>
      </c>
      <c r="B126" t="s">
        <v>47</v>
      </c>
      <c r="C126" t="s">
        <v>385</v>
      </c>
      <c r="D126" t="s">
        <v>57</v>
      </c>
      <c r="E126" t="s">
        <v>68</v>
      </c>
      <c r="F126" t="s">
        <v>85</v>
      </c>
      <c r="G126" t="s">
        <v>52</v>
      </c>
      <c r="H126" t="s">
        <v>53</v>
      </c>
      <c r="I126" t="s">
        <v>57</v>
      </c>
      <c r="J126" t="s">
        <v>53</v>
      </c>
      <c r="K126" t="s">
        <v>55</v>
      </c>
      <c r="L126" t="s">
        <v>56</v>
      </c>
      <c r="M126" t="s">
        <v>57</v>
      </c>
      <c r="N126" t="s">
        <v>58</v>
      </c>
      <c r="O126" t="s">
        <v>57</v>
      </c>
      <c r="P126" t="s">
        <v>57</v>
      </c>
      <c r="Q126" t="s">
        <v>49</v>
      </c>
      <c r="R126" t="s">
        <v>59</v>
      </c>
      <c r="S126" t="s">
        <v>57</v>
      </c>
      <c r="T126" t="s">
        <v>49</v>
      </c>
    </row>
    <row r="127" spans="1:20" x14ac:dyDescent="0.35">
      <c r="A127" t="s">
        <v>45</v>
      </c>
      <c r="B127" t="s">
        <v>62</v>
      </c>
      <c r="C127" t="s">
        <v>385</v>
      </c>
      <c r="D127" t="s">
        <v>57</v>
      </c>
      <c r="E127" t="s">
        <v>50</v>
      </c>
      <c r="F127" t="s">
        <v>99</v>
      </c>
      <c r="G127" t="s">
        <v>52</v>
      </c>
      <c r="H127" t="s">
        <v>53</v>
      </c>
      <c r="I127" t="s">
        <v>49</v>
      </c>
      <c r="J127" t="s">
        <v>53</v>
      </c>
      <c r="K127" t="s">
        <v>55</v>
      </c>
      <c r="L127" t="s">
        <v>56</v>
      </c>
      <c r="M127" t="s">
        <v>57</v>
      </c>
      <c r="N127" t="s">
        <v>58</v>
      </c>
      <c r="O127" t="s">
        <v>57</v>
      </c>
      <c r="P127" t="s">
        <v>88</v>
      </c>
      <c r="Q127" t="s">
        <v>57</v>
      </c>
      <c r="R127" t="s">
        <v>59</v>
      </c>
      <c r="S127" t="s">
        <v>57</v>
      </c>
      <c r="T127" t="s">
        <v>49</v>
      </c>
    </row>
    <row r="128" spans="1:20" x14ac:dyDescent="0.35">
      <c r="A128" t="s">
        <v>45</v>
      </c>
      <c r="B128" t="s">
        <v>104</v>
      </c>
      <c r="C128" t="s">
        <v>80</v>
      </c>
      <c r="D128" t="s">
        <v>49</v>
      </c>
      <c r="E128" t="s">
        <v>102</v>
      </c>
      <c r="F128" t="s">
        <v>51</v>
      </c>
      <c r="G128" t="s">
        <v>69</v>
      </c>
      <c r="H128" t="s">
        <v>53</v>
      </c>
      <c r="I128" t="s">
        <v>49</v>
      </c>
      <c r="J128" t="s">
        <v>54</v>
      </c>
      <c r="K128" t="s">
        <v>55</v>
      </c>
      <c r="L128" t="s">
        <v>56</v>
      </c>
      <c r="M128" t="s">
        <v>57</v>
      </c>
      <c r="N128" t="s">
        <v>58</v>
      </c>
      <c r="O128" t="s">
        <v>57</v>
      </c>
      <c r="P128" t="s">
        <v>57</v>
      </c>
      <c r="Q128" t="s">
        <v>49</v>
      </c>
      <c r="R128" t="s">
        <v>59</v>
      </c>
      <c r="S128" t="s">
        <v>57</v>
      </c>
      <c r="T128" t="s">
        <v>49</v>
      </c>
    </row>
    <row r="129" spans="1:20" x14ac:dyDescent="0.35">
      <c r="A129" t="s">
        <v>45</v>
      </c>
      <c r="B129" t="s">
        <v>47</v>
      </c>
      <c r="C129" t="s">
        <v>385</v>
      </c>
      <c r="D129" t="s">
        <v>57</v>
      </c>
      <c r="E129" t="s">
        <v>68</v>
      </c>
      <c r="F129" t="s">
        <v>92</v>
      </c>
      <c r="G129" t="s">
        <v>86</v>
      </c>
      <c r="H129" t="s">
        <v>53</v>
      </c>
      <c r="I129" t="s">
        <v>49</v>
      </c>
      <c r="J129" t="s">
        <v>54</v>
      </c>
      <c r="K129" t="s">
        <v>96</v>
      </c>
      <c r="L129" t="s">
        <v>78</v>
      </c>
      <c r="M129" t="s">
        <v>57</v>
      </c>
      <c r="N129" t="s">
        <v>65</v>
      </c>
      <c r="O129" t="s">
        <v>57</v>
      </c>
      <c r="P129" t="s">
        <v>49</v>
      </c>
      <c r="Q129" t="s">
        <v>49</v>
      </c>
      <c r="R129" t="s">
        <v>65</v>
      </c>
      <c r="S129" t="s">
        <v>57</v>
      </c>
      <c r="T129" t="s">
        <v>49</v>
      </c>
    </row>
    <row r="130" spans="1:20" x14ac:dyDescent="0.35">
      <c r="A130" t="s">
        <v>45</v>
      </c>
      <c r="B130" t="s">
        <v>47</v>
      </c>
      <c r="C130" t="s">
        <v>385</v>
      </c>
      <c r="D130" t="s">
        <v>49</v>
      </c>
      <c r="E130" t="s">
        <v>109</v>
      </c>
      <c r="F130" t="s">
        <v>51</v>
      </c>
      <c r="G130" t="s">
        <v>69</v>
      </c>
      <c r="H130" t="s">
        <v>53</v>
      </c>
      <c r="I130" t="s">
        <v>49</v>
      </c>
      <c r="J130" t="s">
        <v>54</v>
      </c>
      <c r="K130" t="s">
        <v>96</v>
      </c>
      <c r="L130" t="s">
        <v>56</v>
      </c>
      <c r="M130" t="s">
        <v>57</v>
      </c>
      <c r="N130" t="s">
        <v>58</v>
      </c>
      <c r="O130" t="s">
        <v>57</v>
      </c>
      <c r="P130" t="s">
        <v>49</v>
      </c>
      <c r="Q130" t="s">
        <v>49</v>
      </c>
      <c r="R130" t="s">
        <v>83</v>
      </c>
      <c r="S130" t="s">
        <v>49</v>
      </c>
      <c r="T130" t="s">
        <v>57</v>
      </c>
    </row>
    <row r="131" spans="1:20" x14ac:dyDescent="0.35">
      <c r="A131" t="s">
        <v>61</v>
      </c>
      <c r="B131" t="s">
        <v>62</v>
      </c>
      <c r="C131" t="s">
        <v>80</v>
      </c>
      <c r="D131" t="s">
        <v>49</v>
      </c>
      <c r="E131" t="s">
        <v>68</v>
      </c>
      <c r="F131" t="s">
        <v>92</v>
      </c>
      <c r="G131" t="s">
        <v>69</v>
      </c>
      <c r="H131" t="s">
        <v>53</v>
      </c>
      <c r="I131" t="s">
        <v>49</v>
      </c>
      <c r="J131" t="s">
        <v>54</v>
      </c>
      <c r="K131" t="s">
        <v>96</v>
      </c>
      <c r="L131" t="s">
        <v>56</v>
      </c>
      <c r="M131" t="s">
        <v>49</v>
      </c>
      <c r="N131" t="s">
        <v>65</v>
      </c>
      <c r="O131" t="s">
        <v>49</v>
      </c>
      <c r="P131" t="s">
        <v>88</v>
      </c>
      <c r="Q131" t="s">
        <v>49</v>
      </c>
      <c r="R131" t="s">
        <v>83</v>
      </c>
      <c r="S131" t="s">
        <v>49</v>
      </c>
      <c r="T131" t="s">
        <v>49</v>
      </c>
    </row>
    <row r="132" spans="1:20" x14ac:dyDescent="0.35">
      <c r="A132" t="s">
        <v>61</v>
      </c>
      <c r="B132" t="s">
        <v>62</v>
      </c>
      <c r="C132" t="s">
        <v>80</v>
      </c>
      <c r="D132" t="s">
        <v>49</v>
      </c>
      <c r="E132" t="s">
        <v>68</v>
      </c>
      <c r="F132" t="s">
        <v>92</v>
      </c>
      <c r="G132" t="s">
        <v>52</v>
      </c>
      <c r="H132" t="s">
        <v>53</v>
      </c>
      <c r="I132" t="s">
        <v>49</v>
      </c>
      <c r="J132" t="s">
        <v>53</v>
      </c>
      <c r="K132" t="s">
        <v>65</v>
      </c>
      <c r="L132" t="s">
        <v>78</v>
      </c>
      <c r="M132" t="s">
        <v>88</v>
      </c>
      <c r="N132" t="s">
        <v>66</v>
      </c>
      <c r="O132" t="s">
        <v>49</v>
      </c>
      <c r="P132" t="s">
        <v>88</v>
      </c>
      <c r="Q132" t="s">
        <v>49</v>
      </c>
      <c r="R132" t="s">
        <v>83</v>
      </c>
      <c r="S132" t="s">
        <v>49</v>
      </c>
      <c r="T132" t="s">
        <v>49</v>
      </c>
    </row>
    <row r="133" spans="1:20" x14ac:dyDescent="0.35">
      <c r="A133" t="s">
        <v>61</v>
      </c>
      <c r="B133" t="s">
        <v>62</v>
      </c>
      <c r="C133" t="s">
        <v>80</v>
      </c>
      <c r="D133" t="s">
        <v>49</v>
      </c>
      <c r="E133" t="s">
        <v>68</v>
      </c>
      <c r="F133" t="s">
        <v>92</v>
      </c>
      <c r="G133" t="s">
        <v>52</v>
      </c>
      <c r="H133" t="s">
        <v>53</v>
      </c>
      <c r="I133" t="s">
        <v>49</v>
      </c>
      <c r="J133" t="s">
        <v>53</v>
      </c>
      <c r="K133" t="s">
        <v>96</v>
      </c>
      <c r="L133" t="s">
        <v>78</v>
      </c>
      <c r="M133" t="s">
        <v>88</v>
      </c>
      <c r="N133" t="s">
        <v>66</v>
      </c>
      <c r="O133" t="s">
        <v>49</v>
      </c>
      <c r="P133" t="s">
        <v>49</v>
      </c>
      <c r="Q133" t="s">
        <v>49</v>
      </c>
      <c r="R133" t="s">
        <v>83</v>
      </c>
      <c r="S133" t="s">
        <v>49</v>
      </c>
      <c r="T133" t="s">
        <v>49</v>
      </c>
    </row>
    <row r="134" spans="1:20" x14ac:dyDescent="0.35">
      <c r="A134" t="s">
        <v>61</v>
      </c>
      <c r="B134" t="s">
        <v>62</v>
      </c>
      <c r="C134" t="s">
        <v>80</v>
      </c>
      <c r="D134" t="s">
        <v>57</v>
      </c>
      <c r="E134" t="s">
        <v>50</v>
      </c>
      <c r="F134" t="s">
        <v>51</v>
      </c>
      <c r="G134" t="s">
        <v>52</v>
      </c>
      <c r="H134" t="s">
        <v>100</v>
      </c>
      <c r="I134" t="s">
        <v>57</v>
      </c>
      <c r="J134" t="s">
        <v>82</v>
      </c>
      <c r="K134" t="s">
        <v>55</v>
      </c>
      <c r="L134" t="s">
        <v>56</v>
      </c>
      <c r="M134" t="s">
        <v>57</v>
      </c>
      <c r="N134" t="s">
        <v>58</v>
      </c>
      <c r="O134" t="s">
        <v>57</v>
      </c>
      <c r="P134" t="s">
        <v>57</v>
      </c>
      <c r="Q134" t="s">
        <v>57</v>
      </c>
      <c r="R134" t="s">
        <v>59</v>
      </c>
      <c r="S134" t="s">
        <v>57</v>
      </c>
      <c r="T134" t="s">
        <v>57</v>
      </c>
    </row>
    <row r="135" spans="1:20" x14ac:dyDescent="0.35">
      <c r="A135" t="s">
        <v>45</v>
      </c>
      <c r="B135" t="s">
        <v>47</v>
      </c>
      <c r="C135" t="s">
        <v>80</v>
      </c>
      <c r="D135" t="s">
        <v>57</v>
      </c>
      <c r="E135" t="s">
        <v>50</v>
      </c>
      <c r="F135" t="s">
        <v>85</v>
      </c>
      <c r="G135" t="s">
        <v>81</v>
      </c>
      <c r="H135" t="s">
        <v>77</v>
      </c>
      <c r="I135" t="s">
        <v>49</v>
      </c>
      <c r="J135" t="s">
        <v>54</v>
      </c>
      <c r="K135" t="s">
        <v>65</v>
      </c>
      <c r="L135" t="s">
        <v>78</v>
      </c>
      <c r="M135" t="s">
        <v>57</v>
      </c>
      <c r="N135" t="s">
        <v>66</v>
      </c>
      <c r="O135" t="s">
        <v>57</v>
      </c>
      <c r="P135" t="s">
        <v>88</v>
      </c>
      <c r="Q135" t="s">
        <v>49</v>
      </c>
      <c r="R135" t="s">
        <v>65</v>
      </c>
      <c r="S135" t="s">
        <v>88</v>
      </c>
      <c r="T135" t="s">
        <v>49</v>
      </c>
    </row>
    <row r="136" spans="1:20" x14ac:dyDescent="0.35">
      <c r="A136" t="s">
        <v>45</v>
      </c>
      <c r="B136" t="s">
        <v>47</v>
      </c>
      <c r="C136" t="s">
        <v>80</v>
      </c>
      <c r="D136" t="s">
        <v>57</v>
      </c>
      <c r="E136" t="s">
        <v>68</v>
      </c>
      <c r="F136" t="s">
        <v>85</v>
      </c>
      <c r="G136" t="s">
        <v>86</v>
      </c>
      <c r="H136" t="s">
        <v>77</v>
      </c>
      <c r="I136" t="s">
        <v>49</v>
      </c>
      <c r="J136" t="s">
        <v>54</v>
      </c>
      <c r="K136" t="s">
        <v>65</v>
      </c>
      <c r="L136" t="s">
        <v>78</v>
      </c>
      <c r="M136" t="s">
        <v>49</v>
      </c>
      <c r="N136" t="s">
        <v>126</v>
      </c>
      <c r="O136" t="s">
        <v>88</v>
      </c>
      <c r="P136" t="s">
        <v>49</v>
      </c>
      <c r="Q136" t="s">
        <v>49</v>
      </c>
      <c r="R136" t="s">
        <v>65</v>
      </c>
      <c r="S136" t="s">
        <v>57</v>
      </c>
      <c r="T136" t="s">
        <v>49</v>
      </c>
    </row>
    <row r="137" spans="1:20" x14ac:dyDescent="0.35">
      <c r="A137" t="s">
        <v>45</v>
      </c>
      <c r="B137" t="s">
        <v>47</v>
      </c>
      <c r="C137" t="s">
        <v>385</v>
      </c>
      <c r="D137" t="s">
        <v>57</v>
      </c>
      <c r="E137" t="s">
        <v>68</v>
      </c>
      <c r="F137" t="s">
        <v>51</v>
      </c>
      <c r="G137" t="s">
        <v>69</v>
      </c>
      <c r="H137" t="s">
        <v>53</v>
      </c>
      <c r="I137" t="s">
        <v>49</v>
      </c>
      <c r="J137" t="s">
        <v>54</v>
      </c>
      <c r="K137" t="s">
        <v>96</v>
      </c>
      <c r="L137" t="s">
        <v>65</v>
      </c>
      <c r="M137" t="s">
        <v>88</v>
      </c>
      <c r="N137" t="s">
        <v>65</v>
      </c>
      <c r="O137" t="s">
        <v>57</v>
      </c>
      <c r="P137" t="s">
        <v>88</v>
      </c>
      <c r="Q137" t="s">
        <v>49</v>
      </c>
      <c r="R137" t="s">
        <v>65</v>
      </c>
      <c r="S137" t="s">
        <v>57</v>
      </c>
      <c r="T137" t="s">
        <v>49</v>
      </c>
    </row>
    <row r="138" spans="1:20" x14ac:dyDescent="0.35">
      <c r="A138" t="s">
        <v>45</v>
      </c>
      <c r="B138" t="s">
        <v>47</v>
      </c>
      <c r="C138" t="s">
        <v>80</v>
      </c>
      <c r="D138" t="s">
        <v>57</v>
      </c>
      <c r="E138" t="s">
        <v>64</v>
      </c>
      <c r="F138" t="s">
        <v>85</v>
      </c>
      <c r="G138" t="s">
        <v>86</v>
      </c>
      <c r="H138" t="s">
        <v>77</v>
      </c>
      <c r="I138" t="s">
        <v>57</v>
      </c>
      <c r="J138" t="s">
        <v>77</v>
      </c>
      <c r="K138" t="s">
        <v>96</v>
      </c>
      <c r="L138" t="s">
        <v>65</v>
      </c>
      <c r="M138" t="s">
        <v>49</v>
      </c>
      <c r="N138" t="s">
        <v>65</v>
      </c>
      <c r="O138" t="s">
        <v>57</v>
      </c>
      <c r="P138" t="s">
        <v>57</v>
      </c>
      <c r="Q138" t="s">
        <v>49</v>
      </c>
      <c r="R138" t="s">
        <v>65</v>
      </c>
      <c r="S138" t="s">
        <v>57</v>
      </c>
      <c r="T138" t="s">
        <v>49</v>
      </c>
    </row>
    <row r="139" spans="1:20" x14ac:dyDescent="0.35">
      <c r="A139" t="s">
        <v>45</v>
      </c>
      <c r="B139" t="s">
        <v>47</v>
      </c>
      <c r="C139" t="s">
        <v>80</v>
      </c>
      <c r="D139" t="s">
        <v>57</v>
      </c>
      <c r="E139" t="s">
        <v>68</v>
      </c>
      <c r="F139" t="s">
        <v>95</v>
      </c>
      <c r="G139" t="s">
        <v>52</v>
      </c>
      <c r="H139" t="s">
        <v>53</v>
      </c>
      <c r="I139" t="s">
        <v>49</v>
      </c>
      <c r="J139" t="s">
        <v>54</v>
      </c>
      <c r="K139" t="s">
        <v>65</v>
      </c>
      <c r="L139" t="s">
        <v>65</v>
      </c>
      <c r="M139" t="s">
        <v>57</v>
      </c>
      <c r="N139" t="s">
        <v>66</v>
      </c>
      <c r="O139" t="s">
        <v>57</v>
      </c>
      <c r="P139" t="s">
        <v>57</v>
      </c>
      <c r="Q139" t="s">
        <v>49</v>
      </c>
      <c r="R139" t="s">
        <v>65</v>
      </c>
      <c r="S139" t="s">
        <v>57</v>
      </c>
      <c r="T139" t="s">
        <v>49</v>
      </c>
    </row>
    <row r="140" spans="1:20" x14ac:dyDescent="0.35">
      <c r="A140" t="s">
        <v>45</v>
      </c>
      <c r="B140" t="s">
        <v>62</v>
      </c>
      <c r="C140" t="s">
        <v>80</v>
      </c>
      <c r="D140" t="s">
        <v>57</v>
      </c>
      <c r="E140" t="s">
        <v>102</v>
      </c>
      <c r="F140" t="s">
        <v>95</v>
      </c>
      <c r="G140" t="s">
        <v>52</v>
      </c>
      <c r="H140" t="s">
        <v>77</v>
      </c>
      <c r="I140" t="s">
        <v>57</v>
      </c>
      <c r="J140" t="s">
        <v>77</v>
      </c>
      <c r="K140" t="s">
        <v>55</v>
      </c>
      <c r="L140" t="s">
        <v>111</v>
      </c>
      <c r="M140" t="s">
        <v>57</v>
      </c>
      <c r="N140" t="s">
        <v>65</v>
      </c>
      <c r="O140" t="s">
        <v>57</v>
      </c>
      <c r="P140" t="s">
        <v>49</v>
      </c>
      <c r="Q140" t="s">
        <v>49</v>
      </c>
      <c r="R140" t="s">
        <v>65</v>
      </c>
      <c r="S140" t="s">
        <v>57</v>
      </c>
      <c r="T140" t="s">
        <v>49</v>
      </c>
    </row>
    <row r="141" spans="1:20" x14ac:dyDescent="0.35">
      <c r="A141" t="s">
        <v>45</v>
      </c>
      <c r="B141" t="s">
        <v>47</v>
      </c>
      <c r="C141" t="s">
        <v>385</v>
      </c>
      <c r="D141" t="s">
        <v>57</v>
      </c>
      <c r="E141" t="s">
        <v>109</v>
      </c>
      <c r="F141" t="s">
        <v>85</v>
      </c>
      <c r="G141" t="s">
        <v>52</v>
      </c>
      <c r="H141" t="s">
        <v>53</v>
      </c>
      <c r="I141" t="s">
        <v>57</v>
      </c>
      <c r="J141" t="s">
        <v>53</v>
      </c>
      <c r="K141" t="s">
        <v>55</v>
      </c>
      <c r="L141" t="s">
        <v>56</v>
      </c>
      <c r="M141" t="s">
        <v>57</v>
      </c>
      <c r="N141" t="s">
        <v>58</v>
      </c>
      <c r="O141" t="s">
        <v>57</v>
      </c>
      <c r="P141" t="s">
        <v>49</v>
      </c>
      <c r="Q141" t="s">
        <v>49</v>
      </c>
      <c r="R141" t="s">
        <v>59</v>
      </c>
      <c r="S141" t="s">
        <v>57</v>
      </c>
      <c r="T141" t="s">
        <v>57</v>
      </c>
    </row>
    <row r="142" spans="1:20" x14ac:dyDescent="0.35">
      <c r="A142" t="s">
        <v>61</v>
      </c>
      <c r="B142" t="s">
        <v>94</v>
      </c>
      <c r="C142" t="s">
        <v>80</v>
      </c>
      <c r="D142" t="s">
        <v>49</v>
      </c>
      <c r="E142" t="s">
        <v>68</v>
      </c>
      <c r="F142" t="s">
        <v>357</v>
      </c>
      <c r="G142" t="s">
        <v>52</v>
      </c>
      <c r="H142" t="s">
        <v>53</v>
      </c>
      <c r="I142" t="s">
        <v>49</v>
      </c>
      <c r="J142" t="s">
        <v>54</v>
      </c>
      <c r="K142" t="s">
        <v>65</v>
      </c>
      <c r="L142" t="s">
        <v>65</v>
      </c>
      <c r="M142" t="s">
        <v>57</v>
      </c>
      <c r="N142" t="s">
        <v>65</v>
      </c>
      <c r="O142" t="s">
        <v>88</v>
      </c>
      <c r="P142" t="s">
        <v>49</v>
      </c>
      <c r="Q142" t="s">
        <v>49</v>
      </c>
      <c r="R142" t="s">
        <v>65</v>
      </c>
      <c r="S142" t="s">
        <v>49</v>
      </c>
      <c r="T142" t="s">
        <v>49</v>
      </c>
    </row>
    <row r="143" spans="1:20" x14ac:dyDescent="0.35">
      <c r="A143" t="s">
        <v>61</v>
      </c>
      <c r="B143" t="s">
        <v>47</v>
      </c>
      <c r="C143" t="s">
        <v>80</v>
      </c>
      <c r="D143" t="s">
        <v>49</v>
      </c>
      <c r="E143" t="s">
        <v>64</v>
      </c>
      <c r="F143" t="s">
        <v>99</v>
      </c>
      <c r="G143" t="s">
        <v>86</v>
      </c>
      <c r="H143" t="s">
        <v>77</v>
      </c>
      <c r="I143" t="s">
        <v>49</v>
      </c>
      <c r="J143" t="s">
        <v>54</v>
      </c>
      <c r="K143" t="s">
        <v>65</v>
      </c>
      <c r="L143" t="s">
        <v>65</v>
      </c>
      <c r="M143" t="s">
        <v>57</v>
      </c>
      <c r="N143" t="s">
        <v>66</v>
      </c>
      <c r="O143" t="s">
        <v>88</v>
      </c>
      <c r="P143" t="s">
        <v>49</v>
      </c>
      <c r="Q143" t="s">
        <v>49</v>
      </c>
      <c r="R143" t="s">
        <v>65</v>
      </c>
      <c r="S143" t="s">
        <v>57</v>
      </c>
      <c r="T143" t="s">
        <v>49</v>
      </c>
    </row>
    <row r="144" spans="1:20" x14ac:dyDescent="0.35">
      <c r="A144" t="s">
        <v>45</v>
      </c>
      <c r="B144" t="s">
        <v>62</v>
      </c>
      <c r="C144" t="s">
        <v>385</v>
      </c>
      <c r="D144" t="s">
        <v>57</v>
      </c>
      <c r="E144" t="s">
        <v>68</v>
      </c>
      <c r="F144" t="s">
        <v>85</v>
      </c>
      <c r="G144" t="s">
        <v>52</v>
      </c>
      <c r="H144" t="s">
        <v>100</v>
      </c>
      <c r="I144" t="s">
        <v>57</v>
      </c>
      <c r="J144" t="s">
        <v>70</v>
      </c>
      <c r="K144" t="s">
        <v>55</v>
      </c>
      <c r="L144" t="s">
        <v>56</v>
      </c>
      <c r="M144" t="s">
        <v>57</v>
      </c>
      <c r="N144" t="s">
        <v>58</v>
      </c>
      <c r="O144" t="s">
        <v>57</v>
      </c>
      <c r="P144" t="s">
        <v>57</v>
      </c>
      <c r="Q144" t="s">
        <v>57</v>
      </c>
      <c r="R144" t="s">
        <v>59</v>
      </c>
      <c r="S144" t="s">
        <v>57</v>
      </c>
      <c r="T144" t="s">
        <v>57</v>
      </c>
    </row>
    <row r="145" spans="1:20" x14ac:dyDescent="0.35">
      <c r="A145" t="s">
        <v>61</v>
      </c>
      <c r="B145" t="s">
        <v>47</v>
      </c>
      <c r="C145" t="s">
        <v>80</v>
      </c>
      <c r="D145" t="s">
        <v>57</v>
      </c>
      <c r="E145" t="s">
        <v>102</v>
      </c>
      <c r="F145" t="s">
        <v>85</v>
      </c>
      <c r="G145" t="s">
        <v>81</v>
      </c>
      <c r="H145" t="s">
        <v>76</v>
      </c>
      <c r="I145" t="s">
        <v>57</v>
      </c>
      <c r="J145" t="s">
        <v>363</v>
      </c>
      <c r="K145" t="s">
        <v>55</v>
      </c>
      <c r="L145" t="s">
        <v>78</v>
      </c>
      <c r="M145" t="s">
        <v>49</v>
      </c>
      <c r="N145" t="s">
        <v>58</v>
      </c>
      <c r="O145" t="s">
        <v>57</v>
      </c>
      <c r="P145" t="s">
        <v>49</v>
      </c>
      <c r="Q145" t="s">
        <v>49</v>
      </c>
      <c r="R145" t="s">
        <v>65</v>
      </c>
      <c r="S145" t="s">
        <v>57</v>
      </c>
      <c r="T145" t="s">
        <v>57</v>
      </c>
    </row>
    <row r="146" spans="1:20" x14ac:dyDescent="0.35">
      <c r="A146" t="s">
        <v>61</v>
      </c>
      <c r="B146" t="s">
        <v>47</v>
      </c>
      <c r="C146" t="s">
        <v>80</v>
      </c>
      <c r="D146" t="s">
        <v>49</v>
      </c>
      <c r="E146" t="s">
        <v>64</v>
      </c>
      <c r="F146" t="s">
        <v>357</v>
      </c>
      <c r="G146" t="s">
        <v>52</v>
      </c>
      <c r="H146" t="s">
        <v>53</v>
      </c>
      <c r="I146" t="s">
        <v>49</v>
      </c>
      <c r="J146" t="s">
        <v>54</v>
      </c>
      <c r="K146" t="s">
        <v>55</v>
      </c>
      <c r="L146" t="s">
        <v>78</v>
      </c>
      <c r="M146" t="s">
        <v>88</v>
      </c>
      <c r="N146" t="s">
        <v>65</v>
      </c>
      <c r="O146" t="s">
        <v>57</v>
      </c>
      <c r="P146" t="s">
        <v>88</v>
      </c>
      <c r="Q146" t="s">
        <v>49</v>
      </c>
      <c r="R146" t="s">
        <v>65</v>
      </c>
      <c r="S146" t="s">
        <v>88</v>
      </c>
      <c r="T146" t="s">
        <v>49</v>
      </c>
    </row>
    <row r="147" spans="1:20" x14ac:dyDescent="0.35">
      <c r="A147" t="s">
        <v>61</v>
      </c>
      <c r="B147" t="s">
        <v>47</v>
      </c>
      <c r="C147" t="s">
        <v>385</v>
      </c>
      <c r="D147" t="s">
        <v>49</v>
      </c>
      <c r="E147" t="s">
        <v>102</v>
      </c>
      <c r="F147" t="s">
        <v>357</v>
      </c>
      <c r="G147" t="s">
        <v>69</v>
      </c>
      <c r="H147" t="s">
        <v>87</v>
      </c>
      <c r="I147" t="s">
        <v>49</v>
      </c>
      <c r="J147" t="s">
        <v>54</v>
      </c>
      <c r="K147" t="s">
        <v>96</v>
      </c>
      <c r="L147" t="s">
        <v>72</v>
      </c>
      <c r="M147" t="s">
        <v>49</v>
      </c>
      <c r="N147" t="s">
        <v>105</v>
      </c>
      <c r="O147" t="s">
        <v>88</v>
      </c>
      <c r="P147" t="s">
        <v>88</v>
      </c>
      <c r="Q147" t="s">
        <v>49</v>
      </c>
      <c r="R147" t="s">
        <v>59</v>
      </c>
      <c r="S147" t="s">
        <v>49</v>
      </c>
      <c r="T147" t="s">
        <v>49</v>
      </c>
    </row>
    <row r="148" spans="1:20" x14ac:dyDescent="0.35">
      <c r="A148" t="s">
        <v>45</v>
      </c>
      <c r="B148" t="s">
        <v>62</v>
      </c>
      <c r="C148" t="s">
        <v>385</v>
      </c>
      <c r="D148" t="s">
        <v>57</v>
      </c>
      <c r="E148" t="s">
        <v>68</v>
      </c>
      <c r="F148" t="s">
        <v>51</v>
      </c>
      <c r="G148" t="s">
        <v>81</v>
      </c>
      <c r="H148" t="s">
        <v>87</v>
      </c>
      <c r="I148" t="s">
        <v>49</v>
      </c>
      <c r="J148" t="s">
        <v>54</v>
      </c>
      <c r="K148" t="s">
        <v>65</v>
      </c>
      <c r="L148" t="s">
        <v>65</v>
      </c>
      <c r="M148" t="s">
        <v>57</v>
      </c>
      <c r="N148" t="s">
        <v>65</v>
      </c>
      <c r="O148" t="s">
        <v>57</v>
      </c>
      <c r="P148" t="s">
        <v>49</v>
      </c>
      <c r="Q148" t="s">
        <v>49</v>
      </c>
      <c r="R148" t="s">
        <v>65</v>
      </c>
      <c r="S148" t="s">
        <v>57</v>
      </c>
      <c r="T148" t="s">
        <v>49</v>
      </c>
    </row>
    <row r="149" spans="1:20" x14ac:dyDescent="0.35">
      <c r="A149" t="s">
        <v>45</v>
      </c>
      <c r="B149" t="s">
        <v>47</v>
      </c>
      <c r="C149" t="s">
        <v>80</v>
      </c>
      <c r="D149" t="s">
        <v>57</v>
      </c>
      <c r="E149" t="s">
        <v>64</v>
      </c>
      <c r="F149" t="s">
        <v>357</v>
      </c>
      <c r="G149" t="s">
        <v>52</v>
      </c>
      <c r="H149" t="s">
        <v>53</v>
      </c>
      <c r="I149" t="s">
        <v>49</v>
      </c>
      <c r="J149" t="s">
        <v>54</v>
      </c>
      <c r="K149" t="s">
        <v>65</v>
      </c>
      <c r="L149" t="s">
        <v>65</v>
      </c>
      <c r="M149" t="s">
        <v>88</v>
      </c>
      <c r="N149" t="s">
        <v>105</v>
      </c>
      <c r="O149" t="s">
        <v>57</v>
      </c>
      <c r="P149" t="s">
        <v>49</v>
      </c>
      <c r="Q149" t="s">
        <v>49</v>
      </c>
      <c r="R149" t="s">
        <v>83</v>
      </c>
      <c r="S149" t="s">
        <v>57</v>
      </c>
      <c r="T149" t="s">
        <v>49</v>
      </c>
    </row>
    <row r="150" spans="1:20" x14ac:dyDescent="0.35">
      <c r="A150" t="s">
        <v>61</v>
      </c>
      <c r="B150" t="s">
        <v>62</v>
      </c>
      <c r="C150" t="s">
        <v>385</v>
      </c>
      <c r="D150" t="s">
        <v>57</v>
      </c>
      <c r="E150" t="s">
        <v>50</v>
      </c>
      <c r="F150" t="s">
        <v>51</v>
      </c>
      <c r="G150" t="s">
        <v>81</v>
      </c>
      <c r="H150" t="s">
        <v>87</v>
      </c>
      <c r="I150" t="s">
        <v>49</v>
      </c>
      <c r="J150" t="s">
        <v>87</v>
      </c>
      <c r="K150" t="s">
        <v>96</v>
      </c>
      <c r="L150" t="s">
        <v>65</v>
      </c>
      <c r="M150" t="s">
        <v>57</v>
      </c>
      <c r="N150" t="s">
        <v>58</v>
      </c>
      <c r="O150" t="s">
        <v>57</v>
      </c>
      <c r="P150" t="s">
        <v>49</v>
      </c>
      <c r="Q150" t="s">
        <v>49</v>
      </c>
      <c r="R150" t="s">
        <v>83</v>
      </c>
      <c r="S150" t="s">
        <v>57</v>
      </c>
      <c r="T150" t="s">
        <v>49</v>
      </c>
    </row>
    <row r="151" spans="1:20" x14ac:dyDescent="0.35">
      <c r="A151" t="s">
        <v>45</v>
      </c>
      <c r="B151" t="s">
        <v>47</v>
      </c>
      <c r="C151" t="s">
        <v>385</v>
      </c>
      <c r="D151" t="s">
        <v>49</v>
      </c>
      <c r="E151" t="s">
        <v>64</v>
      </c>
      <c r="F151" t="s">
        <v>357</v>
      </c>
      <c r="G151" t="s">
        <v>86</v>
      </c>
      <c r="H151" t="s">
        <v>53</v>
      </c>
      <c r="I151" t="s">
        <v>49</v>
      </c>
      <c r="J151" t="s">
        <v>54</v>
      </c>
      <c r="K151" t="s">
        <v>65</v>
      </c>
      <c r="L151" t="s">
        <v>65</v>
      </c>
      <c r="M151" t="s">
        <v>57</v>
      </c>
      <c r="N151" t="s">
        <v>65</v>
      </c>
      <c r="O151" t="s">
        <v>49</v>
      </c>
      <c r="P151" t="s">
        <v>88</v>
      </c>
      <c r="Q151" t="s">
        <v>49</v>
      </c>
      <c r="R151" t="s">
        <v>65</v>
      </c>
      <c r="S151" t="s">
        <v>88</v>
      </c>
      <c r="T151" t="s">
        <v>49</v>
      </c>
    </row>
    <row r="152" spans="1:20" x14ac:dyDescent="0.35">
      <c r="A152" t="s">
        <v>61</v>
      </c>
      <c r="B152" t="s">
        <v>47</v>
      </c>
      <c r="C152" t="s">
        <v>385</v>
      </c>
      <c r="D152" t="s">
        <v>57</v>
      </c>
      <c r="E152" t="s">
        <v>50</v>
      </c>
      <c r="F152" t="s">
        <v>85</v>
      </c>
      <c r="G152" t="s">
        <v>69</v>
      </c>
      <c r="H152" t="s">
        <v>53</v>
      </c>
      <c r="I152" t="s">
        <v>57</v>
      </c>
      <c r="J152" t="s">
        <v>53</v>
      </c>
      <c r="K152" t="s">
        <v>55</v>
      </c>
      <c r="L152" t="s">
        <v>56</v>
      </c>
      <c r="M152" t="s">
        <v>57</v>
      </c>
      <c r="N152" t="s">
        <v>58</v>
      </c>
      <c r="O152" t="s">
        <v>57</v>
      </c>
      <c r="P152" t="s">
        <v>57</v>
      </c>
      <c r="Q152" t="s">
        <v>49</v>
      </c>
      <c r="R152" t="s">
        <v>59</v>
      </c>
      <c r="S152" t="s">
        <v>57</v>
      </c>
      <c r="T152" t="s">
        <v>57</v>
      </c>
    </row>
    <row r="153" spans="1:20" x14ac:dyDescent="0.35">
      <c r="A153" t="s">
        <v>61</v>
      </c>
      <c r="B153" t="s">
        <v>62</v>
      </c>
      <c r="C153" t="s">
        <v>385</v>
      </c>
      <c r="D153" t="s">
        <v>57</v>
      </c>
      <c r="E153" t="s">
        <v>102</v>
      </c>
      <c r="F153" t="s">
        <v>95</v>
      </c>
      <c r="G153" t="s">
        <v>360</v>
      </c>
      <c r="H153" t="s">
        <v>53</v>
      </c>
      <c r="I153" t="s">
        <v>57</v>
      </c>
      <c r="J153" t="s">
        <v>53</v>
      </c>
      <c r="K153" t="s">
        <v>96</v>
      </c>
      <c r="L153" t="s">
        <v>65</v>
      </c>
      <c r="M153" t="s">
        <v>57</v>
      </c>
      <c r="N153" t="s">
        <v>65</v>
      </c>
      <c r="O153" t="s">
        <v>49</v>
      </c>
      <c r="P153" t="s">
        <v>49</v>
      </c>
      <c r="Q153" t="s">
        <v>57</v>
      </c>
      <c r="R153" t="s">
        <v>65</v>
      </c>
      <c r="S153" t="s">
        <v>57</v>
      </c>
      <c r="T153" t="s">
        <v>57</v>
      </c>
    </row>
    <row r="154" spans="1:20" x14ac:dyDescent="0.35">
      <c r="A154" t="s">
        <v>45</v>
      </c>
      <c r="B154" t="s">
        <v>62</v>
      </c>
      <c r="C154" t="s">
        <v>385</v>
      </c>
      <c r="D154" t="s">
        <v>57</v>
      </c>
      <c r="E154" t="s">
        <v>68</v>
      </c>
      <c r="F154" t="s">
        <v>51</v>
      </c>
      <c r="G154" t="s">
        <v>81</v>
      </c>
      <c r="H154" t="s">
        <v>76</v>
      </c>
      <c r="I154" t="s">
        <v>57</v>
      </c>
      <c r="J154" t="s">
        <v>82</v>
      </c>
      <c r="K154" t="s">
        <v>65</v>
      </c>
      <c r="L154" t="s">
        <v>65</v>
      </c>
      <c r="M154" t="s">
        <v>57</v>
      </c>
      <c r="N154" t="s">
        <v>58</v>
      </c>
      <c r="O154" t="s">
        <v>49</v>
      </c>
      <c r="P154" t="s">
        <v>57</v>
      </c>
      <c r="Q154" t="s">
        <v>57</v>
      </c>
      <c r="R154" t="s">
        <v>65</v>
      </c>
      <c r="S154" t="s">
        <v>49</v>
      </c>
      <c r="T154" t="s">
        <v>57</v>
      </c>
    </row>
    <row r="155" spans="1:20" x14ac:dyDescent="0.35">
      <c r="A155" t="s">
        <v>45</v>
      </c>
      <c r="B155" t="s">
        <v>94</v>
      </c>
      <c r="C155" t="s">
        <v>48</v>
      </c>
      <c r="D155" t="s">
        <v>57</v>
      </c>
      <c r="E155" t="s">
        <v>64</v>
      </c>
      <c r="F155" t="s">
        <v>51</v>
      </c>
      <c r="G155" t="s">
        <v>52</v>
      </c>
      <c r="H155" t="s">
        <v>53</v>
      </c>
      <c r="I155" t="s">
        <v>57</v>
      </c>
      <c r="J155" t="s">
        <v>53</v>
      </c>
      <c r="K155" t="s">
        <v>55</v>
      </c>
      <c r="L155" t="s">
        <v>56</v>
      </c>
      <c r="M155" t="s">
        <v>57</v>
      </c>
      <c r="N155" t="s">
        <v>58</v>
      </c>
      <c r="O155" t="s">
        <v>49</v>
      </c>
      <c r="P155" t="s">
        <v>49</v>
      </c>
      <c r="Q155" t="s">
        <v>49</v>
      </c>
      <c r="R155" t="s">
        <v>59</v>
      </c>
      <c r="S155" t="s">
        <v>57</v>
      </c>
      <c r="T155" t="s">
        <v>57</v>
      </c>
    </row>
    <row r="156" spans="1:20" x14ac:dyDescent="0.35">
      <c r="A156" t="s">
        <v>45</v>
      </c>
      <c r="B156" t="s">
        <v>47</v>
      </c>
      <c r="C156" t="s">
        <v>385</v>
      </c>
      <c r="D156" t="s">
        <v>57</v>
      </c>
      <c r="E156" t="s">
        <v>68</v>
      </c>
      <c r="F156" t="s">
        <v>85</v>
      </c>
      <c r="G156" t="s">
        <v>52</v>
      </c>
      <c r="H156" t="s">
        <v>53</v>
      </c>
      <c r="I156" t="s">
        <v>57</v>
      </c>
      <c r="J156" t="s">
        <v>87</v>
      </c>
      <c r="K156" t="s">
        <v>96</v>
      </c>
      <c r="L156" t="s">
        <v>78</v>
      </c>
      <c r="M156" t="s">
        <v>57</v>
      </c>
      <c r="N156" t="s">
        <v>66</v>
      </c>
      <c r="O156" t="s">
        <v>57</v>
      </c>
      <c r="P156" t="s">
        <v>57</v>
      </c>
      <c r="Q156" t="s">
        <v>57</v>
      </c>
      <c r="R156" t="s">
        <v>83</v>
      </c>
      <c r="S156" t="s">
        <v>57</v>
      </c>
      <c r="T156" t="s">
        <v>57</v>
      </c>
    </row>
    <row r="157" spans="1:20" x14ac:dyDescent="0.35">
      <c r="A157" t="s">
        <v>45</v>
      </c>
      <c r="B157" t="s">
        <v>47</v>
      </c>
      <c r="C157" t="s">
        <v>120</v>
      </c>
      <c r="D157" t="s">
        <v>57</v>
      </c>
      <c r="E157" t="s">
        <v>68</v>
      </c>
      <c r="F157" t="s">
        <v>95</v>
      </c>
      <c r="G157" t="s">
        <v>52</v>
      </c>
      <c r="H157" t="s">
        <v>53</v>
      </c>
      <c r="I157" t="s">
        <v>49</v>
      </c>
      <c r="J157" t="s">
        <v>54</v>
      </c>
      <c r="K157" t="s">
        <v>55</v>
      </c>
      <c r="L157" t="s">
        <v>56</v>
      </c>
      <c r="M157" t="s">
        <v>57</v>
      </c>
      <c r="N157" t="s">
        <v>58</v>
      </c>
      <c r="O157" t="s">
        <v>57</v>
      </c>
      <c r="P157" t="s">
        <v>57</v>
      </c>
      <c r="Q157" t="s">
        <v>57</v>
      </c>
      <c r="R157" t="s">
        <v>59</v>
      </c>
      <c r="S157" t="s">
        <v>57</v>
      </c>
      <c r="T157" t="s">
        <v>57</v>
      </c>
    </row>
    <row r="158" spans="1:20" x14ac:dyDescent="0.35">
      <c r="A158" t="s">
        <v>61</v>
      </c>
      <c r="B158" t="s">
        <v>62</v>
      </c>
      <c r="C158" t="s">
        <v>80</v>
      </c>
      <c r="D158" t="s">
        <v>57</v>
      </c>
      <c r="E158" t="s">
        <v>68</v>
      </c>
      <c r="F158" t="s">
        <v>85</v>
      </c>
      <c r="G158" t="s">
        <v>52</v>
      </c>
      <c r="H158" t="s">
        <v>76</v>
      </c>
      <c r="I158" t="s">
        <v>57</v>
      </c>
      <c r="J158" t="s">
        <v>82</v>
      </c>
      <c r="K158" t="s">
        <v>55</v>
      </c>
      <c r="L158" t="s">
        <v>56</v>
      </c>
      <c r="M158" t="s">
        <v>57</v>
      </c>
      <c r="N158" t="s">
        <v>66</v>
      </c>
      <c r="O158" t="s">
        <v>57</v>
      </c>
      <c r="P158" t="s">
        <v>57</v>
      </c>
      <c r="Q158" t="s">
        <v>57</v>
      </c>
      <c r="R158" t="s">
        <v>83</v>
      </c>
      <c r="S158" t="s">
        <v>57</v>
      </c>
      <c r="T158" t="s">
        <v>57</v>
      </c>
    </row>
    <row r="159" spans="1:20" x14ac:dyDescent="0.35">
      <c r="A159" t="s">
        <v>45</v>
      </c>
      <c r="B159" t="s">
        <v>62</v>
      </c>
      <c r="C159" t="s">
        <v>80</v>
      </c>
      <c r="D159" t="s">
        <v>49</v>
      </c>
      <c r="E159" t="s">
        <v>109</v>
      </c>
      <c r="F159" t="s">
        <v>95</v>
      </c>
      <c r="G159" t="s">
        <v>81</v>
      </c>
      <c r="H159" t="s">
        <v>53</v>
      </c>
      <c r="I159" t="s">
        <v>49</v>
      </c>
      <c r="J159" t="s">
        <v>54</v>
      </c>
      <c r="K159" t="s">
        <v>65</v>
      </c>
      <c r="L159" t="s">
        <v>65</v>
      </c>
      <c r="M159" t="s">
        <v>57</v>
      </c>
      <c r="N159" t="s">
        <v>66</v>
      </c>
      <c r="O159" t="s">
        <v>57</v>
      </c>
      <c r="P159" t="s">
        <v>57</v>
      </c>
      <c r="Q159" t="s">
        <v>57</v>
      </c>
      <c r="R159" t="s">
        <v>83</v>
      </c>
      <c r="S159" t="s">
        <v>57</v>
      </c>
      <c r="T159" t="s">
        <v>49</v>
      </c>
    </row>
    <row r="160" spans="1:20" x14ac:dyDescent="0.35">
      <c r="A160" t="s">
        <v>61</v>
      </c>
      <c r="B160" t="s">
        <v>104</v>
      </c>
      <c r="C160" t="s">
        <v>120</v>
      </c>
      <c r="D160" t="s">
        <v>49</v>
      </c>
      <c r="E160" t="s">
        <v>64</v>
      </c>
      <c r="F160" t="s">
        <v>99</v>
      </c>
      <c r="G160" t="s">
        <v>81</v>
      </c>
      <c r="H160" t="s">
        <v>77</v>
      </c>
      <c r="I160" t="s">
        <v>49</v>
      </c>
      <c r="J160" t="s">
        <v>77</v>
      </c>
      <c r="K160" t="s">
        <v>65</v>
      </c>
      <c r="L160" t="s">
        <v>72</v>
      </c>
      <c r="M160" t="s">
        <v>49</v>
      </c>
      <c r="N160" t="s">
        <v>105</v>
      </c>
      <c r="O160" t="s">
        <v>49</v>
      </c>
      <c r="P160" t="s">
        <v>57</v>
      </c>
      <c r="Q160" t="s">
        <v>49</v>
      </c>
      <c r="R160" t="s">
        <v>65</v>
      </c>
      <c r="S160" t="s">
        <v>57</v>
      </c>
      <c r="T160" t="s">
        <v>49</v>
      </c>
    </row>
    <row r="161" spans="1:20" x14ac:dyDescent="0.35">
      <c r="A161" t="s">
        <v>61</v>
      </c>
      <c r="B161" t="s">
        <v>47</v>
      </c>
      <c r="C161" t="s">
        <v>120</v>
      </c>
      <c r="D161" t="s">
        <v>57</v>
      </c>
      <c r="E161" t="s">
        <v>64</v>
      </c>
      <c r="F161" t="s">
        <v>357</v>
      </c>
      <c r="G161" t="s">
        <v>81</v>
      </c>
      <c r="H161" t="s">
        <v>53</v>
      </c>
      <c r="I161" t="s">
        <v>49</v>
      </c>
      <c r="J161" t="s">
        <v>77</v>
      </c>
      <c r="K161" t="s">
        <v>71</v>
      </c>
      <c r="L161" t="s">
        <v>72</v>
      </c>
      <c r="M161" t="s">
        <v>49</v>
      </c>
      <c r="N161" t="s">
        <v>105</v>
      </c>
      <c r="O161" t="s">
        <v>88</v>
      </c>
      <c r="P161" t="s">
        <v>88</v>
      </c>
      <c r="Q161" t="s">
        <v>49</v>
      </c>
      <c r="R161" t="s">
        <v>65</v>
      </c>
      <c r="S161" t="s">
        <v>57</v>
      </c>
      <c r="T161" t="s">
        <v>49</v>
      </c>
    </row>
    <row r="162" spans="1:20" x14ac:dyDescent="0.35">
      <c r="A162" t="s">
        <v>45</v>
      </c>
      <c r="B162" t="s">
        <v>47</v>
      </c>
      <c r="C162" t="s">
        <v>120</v>
      </c>
      <c r="D162" t="s">
        <v>57</v>
      </c>
      <c r="E162" t="s">
        <v>64</v>
      </c>
      <c r="F162" t="s">
        <v>357</v>
      </c>
      <c r="G162" t="s">
        <v>52</v>
      </c>
      <c r="H162" t="s">
        <v>53</v>
      </c>
      <c r="I162" t="s">
        <v>49</v>
      </c>
      <c r="J162" t="s">
        <v>77</v>
      </c>
      <c r="K162" t="s">
        <v>71</v>
      </c>
      <c r="L162" t="s">
        <v>72</v>
      </c>
      <c r="M162" t="s">
        <v>49</v>
      </c>
      <c r="N162" t="s">
        <v>105</v>
      </c>
      <c r="O162" t="s">
        <v>88</v>
      </c>
      <c r="P162" t="s">
        <v>88</v>
      </c>
      <c r="Q162" t="s">
        <v>49</v>
      </c>
      <c r="R162" t="s">
        <v>65</v>
      </c>
      <c r="S162" t="s">
        <v>57</v>
      </c>
      <c r="T162" t="s">
        <v>57</v>
      </c>
    </row>
    <row r="163" spans="1:20" x14ac:dyDescent="0.35">
      <c r="A163" t="s">
        <v>45</v>
      </c>
      <c r="B163" t="s">
        <v>94</v>
      </c>
      <c r="C163" t="s">
        <v>120</v>
      </c>
      <c r="D163" t="s">
        <v>57</v>
      </c>
      <c r="E163" t="s">
        <v>64</v>
      </c>
      <c r="F163" t="s">
        <v>357</v>
      </c>
      <c r="G163" t="s">
        <v>52</v>
      </c>
      <c r="H163" t="s">
        <v>53</v>
      </c>
      <c r="I163" t="s">
        <v>49</v>
      </c>
      <c r="J163" t="s">
        <v>54</v>
      </c>
      <c r="K163" t="s">
        <v>71</v>
      </c>
      <c r="L163" t="s">
        <v>65</v>
      </c>
      <c r="M163" t="s">
        <v>49</v>
      </c>
      <c r="N163" t="s">
        <v>105</v>
      </c>
      <c r="O163" t="s">
        <v>57</v>
      </c>
      <c r="P163" t="s">
        <v>49</v>
      </c>
      <c r="Q163" t="s">
        <v>49</v>
      </c>
      <c r="R163" t="s">
        <v>65</v>
      </c>
      <c r="S163" t="s">
        <v>57</v>
      </c>
      <c r="T163" t="s">
        <v>49</v>
      </c>
    </row>
    <row r="164" spans="1:20" x14ac:dyDescent="0.35">
      <c r="A164" t="s">
        <v>45</v>
      </c>
      <c r="B164" t="s">
        <v>94</v>
      </c>
      <c r="C164" t="s">
        <v>120</v>
      </c>
      <c r="D164" t="s">
        <v>57</v>
      </c>
      <c r="E164" t="s">
        <v>68</v>
      </c>
      <c r="F164" t="s">
        <v>99</v>
      </c>
      <c r="G164" t="s">
        <v>360</v>
      </c>
      <c r="H164" t="s">
        <v>53</v>
      </c>
      <c r="I164" t="s">
        <v>49</v>
      </c>
      <c r="J164" t="s">
        <v>53</v>
      </c>
      <c r="K164" t="s">
        <v>71</v>
      </c>
      <c r="L164" t="s">
        <v>72</v>
      </c>
      <c r="M164" t="s">
        <v>49</v>
      </c>
      <c r="N164" t="s">
        <v>105</v>
      </c>
      <c r="O164" t="s">
        <v>88</v>
      </c>
      <c r="P164" t="s">
        <v>49</v>
      </c>
      <c r="Q164" t="s">
        <v>49</v>
      </c>
      <c r="R164" t="s">
        <v>65</v>
      </c>
      <c r="S164" t="s">
        <v>57</v>
      </c>
      <c r="T164" t="s">
        <v>49</v>
      </c>
    </row>
    <row r="165" spans="1:20" x14ac:dyDescent="0.35">
      <c r="A165" t="s">
        <v>45</v>
      </c>
      <c r="B165" t="s">
        <v>47</v>
      </c>
      <c r="C165" t="s">
        <v>120</v>
      </c>
      <c r="D165" t="s">
        <v>49</v>
      </c>
      <c r="E165" t="s">
        <v>64</v>
      </c>
      <c r="F165" t="s">
        <v>357</v>
      </c>
      <c r="G165" t="s">
        <v>81</v>
      </c>
      <c r="H165" t="s">
        <v>53</v>
      </c>
      <c r="I165" t="s">
        <v>49</v>
      </c>
      <c r="J165" t="s">
        <v>53</v>
      </c>
      <c r="K165" t="s">
        <v>71</v>
      </c>
      <c r="L165" t="s">
        <v>65</v>
      </c>
      <c r="M165" t="s">
        <v>88</v>
      </c>
      <c r="N165" t="s">
        <v>65</v>
      </c>
      <c r="O165" t="s">
        <v>49</v>
      </c>
      <c r="P165" t="s">
        <v>49</v>
      </c>
      <c r="Q165" t="s">
        <v>49</v>
      </c>
      <c r="R165" t="s">
        <v>65</v>
      </c>
      <c r="S165" t="s">
        <v>57</v>
      </c>
      <c r="T165" t="s">
        <v>49</v>
      </c>
    </row>
    <row r="166" spans="1:20" x14ac:dyDescent="0.35">
      <c r="A166" t="s">
        <v>45</v>
      </c>
      <c r="B166" t="s">
        <v>47</v>
      </c>
      <c r="C166" t="s">
        <v>120</v>
      </c>
      <c r="D166" t="s">
        <v>49</v>
      </c>
      <c r="E166" t="s">
        <v>68</v>
      </c>
      <c r="F166" t="s">
        <v>99</v>
      </c>
      <c r="G166" t="s">
        <v>52</v>
      </c>
      <c r="H166" t="s">
        <v>53</v>
      </c>
      <c r="I166" t="s">
        <v>49</v>
      </c>
      <c r="J166" t="s">
        <v>53</v>
      </c>
      <c r="K166" t="s">
        <v>71</v>
      </c>
      <c r="L166" t="s">
        <v>72</v>
      </c>
      <c r="M166" t="s">
        <v>57</v>
      </c>
      <c r="N166" t="s">
        <v>105</v>
      </c>
      <c r="O166" t="s">
        <v>57</v>
      </c>
      <c r="P166" t="s">
        <v>49</v>
      </c>
      <c r="Q166" t="s">
        <v>49</v>
      </c>
      <c r="R166" t="s">
        <v>65</v>
      </c>
      <c r="S166" t="s">
        <v>57</v>
      </c>
      <c r="T166" t="s">
        <v>49</v>
      </c>
    </row>
    <row r="167" spans="1:20" x14ac:dyDescent="0.35">
      <c r="A167" t="s">
        <v>45</v>
      </c>
      <c r="B167" t="s">
        <v>47</v>
      </c>
      <c r="C167" t="s">
        <v>120</v>
      </c>
      <c r="D167" t="s">
        <v>49</v>
      </c>
      <c r="E167" t="s">
        <v>64</v>
      </c>
      <c r="F167" t="s">
        <v>99</v>
      </c>
      <c r="G167" t="s">
        <v>52</v>
      </c>
      <c r="H167" t="s">
        <v>53</v>
      </c>
      <c r="I167" t="s">
        <v>49</v>
      </c>
      <c r="J167" t="s">
        <v>54</v>
      </c>
      <c r="K167" t="s">
        <v>71</v>
      </c>
      <c r="L167" t="s">
        <v>72</v>
      </c>
      <c r="M167" t="s">
        <v>88</v>
      </c>
      <c r="N167" t="s">
        <v>105</v>
      </c>
      <c r="O167" t="s">
        <v>88</v>
      </c>
      <c r="P167" t="s">
        <v>49</v>
      </c>
      <c r="Q167" t="s">
        <v>49</v>
      </c>
      <c r="R167" t="s">
        <v>65</v>
      </c>
      <c r="S167" t="s">
        <v>57</v>
      </c>
      <c r="T167" t="s">
        <v>49</v>
      </c>
    </row>
    <row r="168" spans="1:20" x14ac:dyDescent="0.35">
      <c r="A168" t="s">
        <v>61</v>
      </c>
      <c r="B168" t="s">
        <v>47</v>
      </c>
      <c r="C168" t="s">
        <v>120</v>
      </c>
      <c r="D168" t="s">
        <v>49</v>
      </c>
      <c r="E168" t="s">
        <v>109</v>
      </c>
      <c r="F168" t="s">
        <v>357</v>
      </c>
      <c r="G168" t="s">
        <v>81</v>
      </c>
      <c r="H168" t="s">
        <v>53</v>
      </c>
      <c r="I168" t="s">
        <v>49</v>
      </c>
      <c r="J168" t="s">
        <v>53</v>
      </c>
      <c r="K168" t="s">
        <v>110</v>
      </c>
      <c r="L168" t="s">
        <v>111</v>
      </c>
      <c r="M168" t="s">
        <v>57</v>
      </c>
      <c r="N168" t="s">
        <v>105</v>
      </c>
      <c r="O168" t="s">
        <v>88</v>
      </c>
      <c r="P168" t="s">
        <v>88</v>
      </c>
      <c r="Q168" t="s">
        <v>49</v>
      </c>
      <c r="R168" t="s">
        <v>106</v>
      </c>
      <c r="S168" t="s">
        <v>49</v>
      </c>
      <c r="T168" t="s">
        <v>49</v>
      </c>
    </row>
    <row r="169" spans="1:20" x14ac:dyDescent="0.35">
      <c r="A169" t="s">
        <v>61</v>
      </c>
      <c r="B169" t="s">
        <v>47</v>
      </c>
      <c r="C169" t="s">
        <v>120</v>
      </c>
      <c r="D169" t="s">
        <v>49</v>
      </c>
      <c r="E169" t="s">
        <v>109</v>
      </c>
      <c r="F169" t="s">
        <v>357</v>
      </c>
      <c r="G169" t="s">
        <v>52</v>
      </c>
      <c r="H169" t="s">
        <v>77</v>
      </c>
      <c r="I169" t="s">
        <v>49</v>
      </c>
      <c r="J169" t="s">
        <v>54</v>
      </c>
      <c r="K169" t="s">
        <v>110</v>
      </c>
      <c r="L169" t="s">
        <v>65</v>
      </c>
      <c r="M169" t="s">
        <v>88</v>
      </c>
      <c r="N169" t="s">
        <v>126</v>
      </c>
      <c r="O169" t="s">
        <v>88</v>
      </c>
      <c r="P169" t="s">
        <v>49</v>
      </c>
      <c r="Q169" t="s">
        <v>49</v>
      </c>
      <c r="R169" t="s">
        <v>106</v>
      </c>
      <c r="S169" t="s">
        <v>49</v>
      </c>
      <c r="T169" t="s">
        <v>49</v>
      </c>
    </row>
    <row r="170" spans="1:20" x14ac:dyDescent="0.35">
      <c r="A170" t="s">
        <v>61</v>
      </c>
      <c r="B170" t="s">
        <v>47</v>
      </c>
      <c r="C170" t="s">
        <v>120</v>
      </c>
      <c r="D170" t="s">
        <v>49</v>
      </c>
      <c r="E170" t="s">
        <v>64</v>
      </c>
      <c r="F170" t="s">
        <v>357</v>
      </c>
      <c r="G170" t="s">
        <v>81</v>
      </c>
      <c r="H170" t="s">
        <v>53</v>
      </c>
      <c r="I170" t="s">
        <v>49</v>
      </c>
      <c r="J170" t="s">
        <v>53</v>
      </c>
      <c r="K170" t="s">
        <v>110</v>
      </c>
      <c r="L170" t="s">
        <v>56</v>
      </c>
      <c r="M170" t="s">
        <v>88</v>
      </c>
      <c r="N170" t="s">
        <v>126</v>
      </c>
      <c r="O170" t="s">
        <v>88</v>
      </c>
      <c r="P170" t="s">
        <v>49</v>
      </c>
      <c r="Q170" t="s">
        <v>49</v>
      </c>
      <c r="R170" t="s">
        <v>106</v>
      </c>
      <c r="S170" t="s">
        <v>49</v>
      </c>
      <c r="T170" t="s">
        <v>49</v>
      </c>
    </row>
    <row r="171" spans="1:20" x14ac:dyDescent="0.35">
      <c r="A171" t="s">
        <v>45</v>
      </c>
      <c r="B171" t="s">
        <v>94</v>
      </c>
      <c r="C171" t="s">
        <v>120</v>
      </c>
      <c r="D171" t="s">
        <v>49</v>
      </c>
      <c r="E171" t="s">
        <v>64</v>
      </c>
      <c r="F171" t="s">
        <v>357</v>
      </c>
      <c r="G171" t="s">
        <v>86</v>
      </c>
      <c r="H171" t="s">
        <v>53</v>
      </c>
      <c r="I171" t="s">
        <v>49</v>
      </c>
      <c r="J171" t="s">
        <v>53</v>
      </c>
      <c r="K171" t="s">
        <v>71</v>
      </c>
      <c r="L171" t="s">
        <v>72</v>
      </c>
      <c r="M171" t="s">
        <v>57</v>
      </c>
      <c r="N171" t="s">
        <v>105</v>
      </c>
      <c r="O171" t="s">
        <v>88</v>
      </c>
      <c r="P171" t="s">
        <v>49</v>
      </c>
      <c r="Q171" t="s">
        <v>49</v>
      </c>
      <c r="R171" t="s">
        <v>106</v>
      </c>
      <c r="S171" t="s">
        <v>49</v>
      </c>
      <c r="T171" t="s">
        <v>49</v>
      </c>
    </row>
    <row r="172" spans="1:20" x14ac:dyDescent="0.35">
      <c r="A172" t="s">
        <v>61</v>
      </c>
      <c r="B172" t="s">
        <v>47</v>
      </c>
      <c r="C172" t="s">
        <v>120</v>
      </c>
      <c r="D172" t="s">
        <v>49</v>
      </c>
      <c r="E172" t="s">
        <v>64</v>
      </c>
      <c r="F172" t="s">
        <v>357</v>
      </c>
      <c r="G172" t="s">
        <v>81</v>
      </c>
      <c r="H172" t="s">
        <v>53</v>
      </c>
      <c r="I172" t="s">
        <v>49</v>
      </c>
      <c r="J172" t="s">
        <v>53</v>
      </c>
      <c r="K172" t="s">
        <v>71</v>
      </c>
      <c r="L172" t="s">
        <v>72</v>
      </c>
      <c r="M172" t="s">
        <v>49</v>
      </c>
      <c r="N172" t="s">
        <v>105</v>
      </c>
      <c r="O172" t="s">
        <v>49</v>
      </c>
      <c r="P172" t="s">
        <v>49</v>
      </c>
      <c r="Q172" t="s">
        <v>49</v>
      </c>
      <c r="R172" t="s">
        <v>65</v>
      </c>
      <c r="S172" t="s">
        <v>49</v>
      </c>
      <c r="T172" t="s">
        <v>49</v>
      </c>
    </row>
    <row r="173" spans="1:20" x14ac:dyDescent="0.35">
      <c r="A173" t="s">
        <v>45</v>
      </c>
      <c r="B173" t="s">
        <v>94</v>
      </c>
      <c r="C173" t="s">
        <v>120</v>
      </c>
      <c r="D173" t="s">
        <v>49</v>
      </c>
      <c r="E173" t="s">
        <v>64</v>
      </c>
      <c r="F173" t="s">
        <v>95</v>
      </c>
      <c r="G173" t="s">
        <v>81</v>
      </c>
      <c r="H173" t="s">
        <v>77</v>
      </c>
      <c r="I173" t="s">
        <v>49</v>
      </c>
      <c r="J173" t="s">
        <v>53</v>
      </c>
      <c r="K173" t="s">
        <v>65</v>
      </c>
      <c r="L173" t="s">
        <v>72</v>
      </c>
      <c r="M173" t="s">
        <v>49</v>
      </c>
      <c r="N173" t="s">
        <v>105</v>
      </c>
      <c r="O173" t="s">
        <v>57</v>
      </c>
      <c r="P173" t="s">
        <v>49</v>
      </c>
      <c r="Q173" t="s">
        <v>49</v>
      </c>
      <c r="R173" t="s">
        <v>65</v>
      </c>
      <c r="S173" t="s">
        <v>49</v>
      </c>
      <c r="T173" t="s">
        <v>49</v>
      </c>
    </row>
    <row r="174" spans="1:20" x14ac:dyDescent="0.35">
      <c r="A174" t="s">
        <v>61</v>
      </c>
      <c r="B174" t="s">
        <v>62</v>
      </c>
      <c r="C174" t="s">
        <v>120</v>
      </c>
      <c r="D174" t="s">
        <v>49</v>
      </c>
      <c r="E174" t="s">
        <v>68</v>
      </c>
      <c r="F174" t="s">
        <v>51</v>
      </c>
      <c r="G174" t="s">
        <v>86</v>
      </c>
      <c r="H174" t="s">
        <v>53</v>
      </c>
      <c r="I174" t="s">
        <v>49</v>
      </c>
      <c r="J174" t="s">
        <v>54</v>
      </c>
      <c r="K174" t="s">
        <v>71</v>
      </c>
      <c r="L174" t="s">
        <v>72</v>
      </c>
      <c r="M174" t="s">
        <v>57</v>
      </c>
      <c r="N174" t="s">
        <v>65</v>
      </c>
      <c r="O174" t="s">
        <v>57</v>
      </c>
      <c r="P174" t="s">
        <v>49</v>
      </c>
      <c r="Q174" t="s">
        <v>49</v>
      </c>
      <c r="R174" t="s">
        <v>65</v>
      </c>
      <c r="S174" t="s">
        <v>49</v>
      </c>
      <c r="T174" t="s">
        <v>57</v>
      </c>
    </row>
    <row r="175" spans="1:20" x14ac:dyDescent="0.35">
      <c r="A175" t="s">
        <v>45</v>
      </c>
      <c r="B175" t="s">
        <v>47</v>
      </c>
      <c r="C175" t="s">
        <v>120</v>
      </c>
      <c r="D175" t="s">
        <v>57</v>
      </c>
      <c r="E175" t="s">
        <v>68</v>
      </c>
      <c r="F175" t="s">
        <v>51</v>
      </c>
      <c r="G175" t="s">
        <v>81</v>
      </c>
      <c r="H175" t="s">
        <v>53</v>
      </c>
      <c r="I175" t="s">
        <v>49</v>
      </c>
      <c r="J175" t="s">
        <v>54</v>
      </c>
      <c r="K175" t="s">
        <v>65</v>
      </c>
      <c r="L175" t="s">
        <v>65</v>
      </c>
      <c r="M175" t="s">
        <v>57</v>
      </c>
      <c r="N175" t="s">
        <v>66</v>
      </c>
      <c r="O175" t="s">
        <v>57</v>
      </c>
      <c r="P175" t="s">
        <v>49</v>
      </c>
      <c r="Q175" t="s">
        <v>49</v>
      </c>
      <c r="R175" t="s">
        <v>83</v>
      </c>
      <c r="S175" t="s">
        <v>57</v>
      </c>
      <c r="T175" t="s">
        <v>57</v>
      </c>
    </row>
    <row r="176" spans="1:20" x14ac:dyDescent="0.35">
      <c r="A176" t="s">
        <v>45</v>
      </c>
      <c r="B176" t="s">
        <v>47</v>
      </c>
      <c r="C176" t="s">
        <v>385</v>
      </c>
      <c r="D176" t="s">
        <v>49</v>
      </c>
      <c r="E176" t="s">
        <v>109</v>
      </c>
      <c r="F176" t="s">
        <v>357</v>
      </c>
      <c r="G176" t="s">
        <v>81</v>
      </c>
      <c r="H176" t="s">
        <v>87</v>
      </c>
      <c r="I176" t="s">
        <v>49</v>
      </c>
      <c r="J176" t="s">
        <v>54</v>
      </c>
      <c r="K176" t="s">
        <v>65</v>
      </c>
      <c r="L176" t="s">
        <v>72</v>
      </c>
      <c r="M176" t="s">
        <v>57</v>
      </c>
      <c r="N176" t="s">
        <v>66</v>
      </c>
      <c r="O176" t="s">
        <v>88</v>
      </c>
      <c r="P176" t="s">
        <v>88</v>
      </c>
      <c r="Q176" t="s">
        <v>49</v>
      </c>
      <c r="R176" t="s">
        <v>65</v>
      </c>
      <c r="S176" t="s">
        <v>57</v>
      </c>
      <c r="T176" t="s">
        <v>49</v>
      </c>
    </row>
    <row r="177" spans="1:20" x14ac:dyDescent="0.35">
      <c r="A177" t="s">
        <v>61</v>
      </c>
      <c r="B177" t="s">
        <v>47</v>
      </c>
      <c r="C177" t="s">
        <v>120</v>
      </c>
      <c r="D177" t="s">
        <v>49</v>
      </c>
      <c r="E177" t="s">
        <v>64</v>
      </c>
      <c r="F177" t="s">
        <v>357</v>
      </c>
      <c r="G177" t="s">
        <v>52</v>
      </c>
      <c r="H177" t="s">
        <v>53</v>
      </c>
      <c r="I177" t="s">
        <v>49</v>
      </c>
      <c r="J177" t="s">
        <v>54</v>
      </c>
      <c r="K177" t="s">
        <v>71</v>
      </c>
      <c r="L177" t="s">
        <v>72</v>
      </c>
      <c r="M177" t="s">
        <v>88</v>
      </c>
      <c r="N177" t="s">
        <v>105</v>
      </c>
      <c r="O177" t="s">
        <v>49</v>
      </c>
      <c r="P177" t="s">
        <v>49</v>
      </c>
      <c r="Q177" t="s">
        <v>49</v>
      </c>
      <c r="R177" t="s">
        <v>106</v>
      </c>
      <c r="S177" t="s">
        <v>88</v>
      </c>
      <c r="T177" t="s">
        <v>49</v>
      </c>
    </row>
    <row r="178" spans="1:20" x14ac:dyDescent="0.35">
      <c r="A178" t="s">
        <v>45</v>
      </c>
      <c r="B178" t="s">
        <v>94</v>
      </c>
      <c r="C178" t="s">
        <v>120</v>
      </c>
      <c r="D178" t="s">
        <v>49</v>
      </c>
      <c r="E178" t="s">
        <v>64</v>
      </c>
      <c r="F178" t="s">
        <v>99</v>
      </c>
      <c r="G178" t="s">
        <v>52</v>
      </c>
      <c r="H178" t="s">
        <v>53</v>
      </c>
      <c r="I178" t="s">
        <v>49</v>
      </c>
      <c r="J178" t="s">
        <v>53</v>
      </c>
      <c r="K178" t="s">
        <v>71</v>
      </c>
      <c r="L178" t="s">
        <v>72</v>
      </c>
      <c r="M178" t="s">
        <v>57</v>
      </c>
      <c r="N178" t="s">
        <v>105</v>
      </c>
      <c r="O178" t="s">
        <v>57</v>
      </c>
      <c r="P178" t="s">
        <v>49</v>
      </c>
      <c r="Q178" t="s">
        <v>49</v>
      </c>
      <c r="R178" t="s">
        <v>65</v>
      </c>
      <c r="S178" t="s">
        <v>49</v>
      </c>
      <c r="T178" t="s">
        <v>49</v>
      </c>
    </row>
    <row r="179" spans="1:20" x14ac:dyDescent="0.35">
      <c r="A179" t="s">
        <v>45</v>
      </c>
      <c r="B179" t="s">
        <v>47</v>
      </c>
      <c r="C179" t="s">
        <v>120</v>
      </c>
      <c r="D179" t="s">
        <v>49</v>
      </c>
      <c r="E179" t="s">
        <v>64</v>
      </c>
      <c r="F179" t="s">
        <v>357</v>
      </c>
      <c r="G179" t="s">
        <v>52</v>
      </c>
      <c r="H179" t="s">
        <v>53</v>
      </c>
      <c r="I179" t="s">
        <v>49</v>
      </c>
      <c r="J179" t="s">
        <v>53</v>
      </c>
      <c r="K179" t="s">
        <v>71</v>
      </c>
      <c r="L179" t="s">
        <v>72</v>
      </c>
      <c r="M179" t="s">
        <v>49</v>
      </c>
      <c r="N179" t="s">
        <v>105</v>
      </c>
      <c r="O179" t="s">
        <v>49</v>
      </c>
      <c r="P179" t="s">
        <v>49</v>
      </c>
      <c r="Q179" t="s">
        <v>49</v>
      </c>
      <c r="R179" t="s">
        <v>106</v>
      </c>
      <c r="S179" t="s">
        <v>49</v>
      </c>
      <c r="T179" t="s">
        <v>49</v>
      </c>
    </row>
    <row r="180" spans="1:20" x14ac:dyDescent="0.35">
      <c r="A180" t="s">
        <v>45</v>
      </c>
      <c r="B180" t="s">
        <v>47</v>
      </c>
      <c r="C180" t="s">
        <v>80</v>
      </c>
      <c r="D180" t="s">
        <v>57</v>
      </c>
      <c r="E180" t="s">
        <v>102</v>
      </c>
      <c r="F180" t="s">
        <v>85</v>
      </c>
      <c r="G180" t="s">
        <v>52</v>
      </c>
      <c r="H180" t="s">
        <v>53</v>
      </c>
      <c r="I180" t="s">
        <v>57</v>
      </c>
      <c r="J180" t="s">
        <v>70</v>
      </c>
      <c r="K180" t="s">
        <v>96</v>
      </c>
      <c r="L180" t="s">
        <v>78</v>
      </c>
      <c r="M180" t="s">
        <v>57</v>
      </c>
      <c r="N180" t="s">
        <v>58</v>
      </c>
      <c r="O180" t="s">
        <v>88</v>
      </c>
      <c r="P180" t="s">
        <v>88</v>
      </c>
      <c r="Q180" t="s">
        <v>49</v>
      </c>
      <c r="R180" t="s">
        <v>83</v>
      </c>
      <c r="S180" t="s">
        <v>57</v>
      </c>
      <c r="T180" t="s">
        <v>49</v>
      </c>
    </row>
    <row r="181" spans="1:20" x14ac:dyDescent="0.35">
      <c r="A181" t="s">
        <v>61</v>
      </c>
      <c r="B181" t="s">
        <v>62</v>
      </c>
      <c r="C181" t="s">
        <v>63</v>
      </c>
      <c r="D181" t="s">
        <v>57</v>
      </c>
      <c r="E181" t="s">
        <v>68</v>
      </c>
      <c r="F181" t="s">
        <v>99</v>
      </c>
      <c r="G181" t="s">
        <v>52</v>
      </c>
      <c r="H181" t="s">
        <v>53</v>
      </c>
      <c r="I181" t="s">
        <v>49</v>
      </c>
      <c r="J181" t="s">
        <v>77</v>
      </c>
      <c r="K181" t="s">
        <v>71</v>
      </c>
      <c r="L181" t="s">
        <v>72</v>
      </c>
      <c r="M181" t="s">
        <v>49</v>
      </c>
      <c r="N181" t="s">
        <v>105</v>
      </c>
      <c r="O181" t="s">
        <v>49</v>
      </c>
      <c r="P181" t="s">
        <v>49</v>
      </c>
      <c r="Q181" t="s">
        <v>49</v>
      </c>
      <c r="R181" t="s">
        <v>65</v>
      </c>
      <c r="S181" t="s">
        <v>49</v>
      </c>
      <c r="T181" t="s">
        <v>49</v>
      </c>
    </row>
    <row r="182" spans="1:20" x14ac:dyDescent="0.35">
      <c r="A182" t="s">
        <v>45</v>
      </c>
      <c r="B182" t="s">
        <v>47</v>
      </c>
      <c r="C182" t="s">
        <v>63</v>
      </c>
      <c r="D182" t="s">
        <v>49</v>
      </c>
      <c r="E182" t="s">
        <v>64</v>
      </c>
      <c r="F182" t="s">
        <v>99</v>
      </c>
      <c r="G182" t="s">
        <v>52</v>
      </c>
      <c r="H182" t="s">
        <v>53</v>
      </c>
      <c r="I182" t="s">
        <v>49</v>
      </c>
      <c r="J182" t="s">
        <v>54</v>
      </c>
      <c r="K182" t="s">
        <v>71</v>
      </c>
      <c r="L182" t="s">
        <v>72</v>
      </c>
      <c r="M182" t="s">
        <v>57</v>
      </c>
      <c r="N182" t="s">
        <v>105</v>
      </c>
      <c r="O182" t="s">
        <v>49</v>
      </c>
      <c r="P182" t="s">
        <v>49</v>
      </c>
      <c r="Q182" t="s">
        <v>49</v>
      </c>
      <c r="R182" t="s">
        <v>106</v>
      </c>
      <c r="S182" t="s">
        <v>49</v>
      </c>
      <c r="T182" t="s">
        <v>49</v>
      </c>
    </row>
    <row r="183" spans="1:20" x14ac:dyDescent="0.35">
      <c r="A183" t="s">
        <v>61</v>
      </c>
      <c r="B183" t="s">
        <v>62</v>
      </c>
      <c r="C183" t="s">
        <v>63</v>
      </c>
      <c r="D183" t="s">
        <v>57</v>
      </c>
      <c r="E183" t="s">
        <v>68</v>
      </c>
      <c r="F183" t="s">
        <v>99</v>
      </c>
      <c r="G183" t="s">
        <v>52</v>
      </c>
      <c r="H183" t="s">
        <v>53</v>
      </c>
      <c r="I183" t="s">
        <v>49</v>
      </c>
      <c r="J183" t="s">
        <v>54</v>
      </c>
      <c r="K183" t="s">
        <v>71</v>
      </c>
      <c r="L183" t="s">
        <v>72</v>
      </c>
      <c r="M183" t="s">
        <v>57</v>
      </c>
      <c r="N183" t="s">
        <v>58</v>
      </c>
      <c r="O183" t="s">
        <v>49</v>
      </c>
      <c r="P183" t="s">
        <v>49</v>
      </c>
      <c r="Q183" t="s">
        <v>49</v>
      </c>
      <c r="R183" t="s">
        <v>106</v>
      </c>
      <c r="S183" t="s">
        <v>49</v>
      </c>
      <c r="T183" t="s">
        <v>49</v>
      </c>
    </row>
    <row r="184" spans="1:20" x14ac:dyDescent="0.35">
      <c r="A184" t="s">
        <v>45</v>
      </c>
      <c r="B184" t="s">
        <v>47</v>
      </c>
      <c r="C184" t="s">
        <v>63</v>
      </c>
      <c r="D184" t="s">
        <v>49</v>
      </c>
      <c r="E184" t="s">
        <v>64</v>
      </c>
      <c r="F184" t="s">
        <v>357</v>
      </c>
      <c r="G184" t="s">
        <v>52</v>
      </c>
      <c r="H184" t="s">
        <v>53</v>
      </c>
      <c r="I184" t="s">
        <v>49</v>
      </c>
      <c r="J184" t="s">
        <v>54</v>
      </c>
      <c r="K184" t="s">
        <v>110</v>
      </c>
      <c r="L184" t="s">
        <v>72</v>
      </c>
      <c r="M184" t="s">
        <v>49</v>
      </c>
      <c r="N184" t="s">
        <v>105</v>
      </c>
      <c r="O184" t="s">
        <v>49</v>
      </c>
      <c r="P184" t="s">
        <v>49</v>
      </c>
      <c r="Q184" t="s">
        <v>49</v>
      </c>
      <c r="R184" t="s">
        <v>106</v>
      </c>
      <c r="S184" t="s">
        <v>49</v>
      </c>
      <c r="T184" t="s">
        <v>49</v>
      </c>
    </row>
    <row r="185" spans="1:20" x14ac:dyDescent="0.35">
      <c r="A185" t="s">
        <v>45</v>
      </c>
      <c r="B185" t="s">
        <v>47</v>
      </c>
      <c r="C185" t="s">
        <v>63</v>
      </c>
      <c r="D185" t="s">
        <v>57</v>
      </c>
      <c r="E185" t="s">
        <v>102</v>
      </c>
      <c r="F185" t="s">
        <v>85</v>
      </c>
      <c r="G185" t="s">
        <v>52</v>
      </c>
      <c r="H185" t="s">
        <v>53</v>
      </c>
      <c r="I185" t="s">
        <v>57</v>
      </c>
      <c r="J185" t="s">
        <v>53</v>
      </c>
      <c r="K185" t="s">
        <v>96</v>
      </c>
      <c r="L185" t="s">
        <v>78</v>
      </c>
      <c r="M185" t="s">
        <v>57</v>
      </c>
      <c r="N185" t="s">
        <v>66</v>
      </c>
      <c r="O185" t="s">
        <v>57</v>
      </c>
      <c r="P185" t="s">
        <v>57</v>
      </c>
      <c r="Q185" t="s">
        <v>57</v>
      </c>
      <c r="R185" t="s">
        <v>83</v>
      </c>
      <c r="S185" t="s">
        <v>57</v>
      </c>
      <c r="T185" t="s">
        <v>57</v>
      </c>
    </row>
    <row r="186" spans="1:20" x14ac:dyDescent="0.35">
      <c r="A186" t="s">
        <v>61</v>
      </c>
      <c r="B186" t="s">
        <v>62</v>
      </c>
      <c r="C186" t="s">
        <v>63</v>
      </c>
      <c r="D186" t="s">
        <v>57</v>
      </c>
      <c r="E186" t="s">
        <v>68</v>
      </c>
      <c r="F186" t="s">
        <v>51</v>
      </c>
      <c r="G186" t="s">
        <v>52</v>
      </c>
      <c r="H186" t="s">
        <v>76</v>
      </c>
      <c r="I186" t="s">
        <v>57</v>
      </c>
      <c r="J186" t="s">
        <v>82</v>
      </c>
      <c r="K186" t="s">
        <v>96</v>
      </c>
      <c r="L186" t="s">
        <v>78</v>
      </c>
      <c r="M186" t="s">
        <v>57</v>
      </c>
      <c r="N186" t="s">
        <v>58</v>
      </c>
      <c r="O186" t="s">
        <v>57</v>
      </c>
      <c r="P186" t="s">
        <v>57</v>
      </c>
      <c r="Q186" t="s">
        <v>57</v>
      </c>
      <c r="R186" t="s">
        <v>59</v>
      </c>
      <c r="S186" t="s">
        <v>57</v>
      </c>
      <c r="T186" t="s">
        <v>57</v>
      </c>
    </row>
    <row r="187" spans="1:20" x14ac:dyDescent="0.35">
      <c r="A187" t="s">
        <v>45</v>
      </c>
      <c r="B187" t="s">
        <v>47</v>
      </c>
      <c r="C187" t="s">
        <v>63</v>
      </c>
      <c r="D187" t="s">
        <v>57</v>
      </c>
      <c r="E187" t="s">
        <v>102</v>
      </c>
      <c r="F187" t="s">
        <v>51</v>
      </c>
      <c r="G187" t="s">
        <v>52</v>
      </c>
      <c r="H187" t="s">
        <v>87</v>
      </c>
      <c r="I187" t="s">
        <v>57</v>
      </c>
      <c r="J187" t="s">
        <v>87</v>
      </c>
      <c r="K187" t="s">
        <v>96</v>
      </c>
      <c r="L187" t="s">
        <v>56</v>
      </c>
      <c r="M187" t="s">
        <v>57</v>
      </c>
      <c r="N187" t="s">
        <v>58</v>
      </c>
      <c r="O187" t="s">
        <v>57</v>
      </c>
      <c r="P187" t="s">
        <v>57</v>
      </c>
      <c r="Q187" t="s">
        <v>57</v>
      </c>
      <c r="R187" t="s">
        <v>59</v>
      </c>
      <c r="S187" t="s">
        <v>57</v>
      </c>
      <c r="T187" t="s">
        <v>57</v>
      </c>
    </row>
    <row r="188" spans="1:20" x14ac:dyDescent="0.35">
      <c r="A188" t="s">
        <v>61</v>
      </c>
      <c r="B188" t="s">
        <v>47</v>
      </c>
      <c r="C188" t="s">
        <v>63</v>
      </c>
      <c r="D188" t="s">
        <v>57</v>
      </c>
      <c r="E188" t="s">
        <v>50</v>
      </c>
      <c r="F188" t="s">
        <v>85</v>
      </c>
      <c r="G188" t="s">
        <v>360</v>
      </c>
      <c r="H188" t="s">
        <v>100</v>
      </c>
      <c r="I188" t="s">
        <v>57</v>
      </c>
      <c r="J188" t="s">
        <v>70</v>
      </c>
      <c r="K188" t="s">
        <v>65</v>
      </c>
      <c r="L188" t="s">
        <v>78</v>
      </c>
      <c r="M188" t="s">
        <v>57</v>
      </c>
      <c r="N188" t="s">
        <v>58</v>
      </c>
      <c r="O188" t="s">
        <v>57</v>
      </c>
      <c r="P188" t="s">
        <v>57</v>
      </c>
      <c r="Q188" t="s">
        <v>57</v>
      </c>
      <c r="R188" t="s">
        <v>59</v>
      </c>
      <c r="S188" t="s">
        <v>57</v>
      </c>
      <c r="T188" t="s">
        <v>57</v>
      </c>
    </row>
    <row r="189" spans="1:20" x14ac:dyDescent="0.35">
      <c r="A189" t="s">
        <v>45</v>
      </c>
      <c r="B189" t="s">
        <v>62</v>
      </c>
      <c r="C189" t="s">
        <v>63</v>
      </c>
      <c r="D189" t="s">
        <v>57</v>
      </c>
      <c r="E189" t="s">
        <v>102</v>
      </c>
      <c r="F189" t="s">
        <v>85</v>
      </c>
      <c r="G189" t="s">
        <v>52</v>
      </c>
      <c r="H189" t="s">
        <v>53</v>
      </c>
      <c r="I189" t="s">
        <v>57</v>
      </c>
      <c r="J189" t="s">
        <v>53</v>
      </c>
      <c r="K189" t="s">
        <v>96</v>
      </c>
      <c r="L189" t="s">
        <v>56</v>
      </c>
      <c r="M189" t="s">
        <v>57</v>
      </c>
      <c r="N189" t="s">
        <v>58</v>
      </c>
      <c r="O189" t="s">
        <v>57</v>
      </c>
      <c r="P189" t="s">
        <v>57</v>
      </c>
      <c r="Q189" t="s">
        <v>57</v>
      </c>
      <c r="R189" t="s">
        <v>59</v>
      </c>
      <c r="S189" t="s">
        <v>57</v>
      </c>
      <c r="T189" t="s">
        <v>57</v>
      </c>
    </row>
    <row r="190" spans="1:20" x14ac:dyDescent="0.35">
      <c r="A190" t="s">
        <v>45</v>
      </c>
      <c r="B190" t="s">
        <v>62</v>
      </c>
      <c r="C190" t="s">
        <v>63</v>
      </c>
      <c r="D190" t="s">
        <v>57</v>
      </c>
      <c r="E190" t="s">
        <v>68</v>
      </c>
      <c r="F190" t="s">
        <v>357</v>
      </c>
      <c r="G190" t="s">
        <v>52</v>
      </c>
      <c r="H190" t="s">
        <v>76</v>
      </c>
      <c r="I190" t="s">
        <v>57</v>
      </c>
      <c r="J190" t="s">
        <v>82</v>
      </c>
      <c r="K190" t="s">
        <v>96</v>
      </c>
      <c r="L190" t="s">
        <v>78</v>
      </c>
      <c r="M190" t="s">
        <v>57</v>
      </c>
      <c r="N190" t="s">
        <v>66</v>
      </c>
      <c r="O190" t="s">
        <v>57</v>
      </c>
      <c r="P190" t="s">
        <v>57</v>
      </c>
      <c r="Q190" t="s">
        <v>57</v>
      </c>
      <c r="R190" t="s">
        <v>83</v>
      </c>
      <c r="S190" t="s">
        <v>57</v>
      </c>
      <c r="T190" t="s">
        <v>57</v>
      </c>
    </row>
    <row r="191" spans="1:20" x14ac:dyDescent="0.35">
      <c r="A191" t="s">
        <v>61</v>
      </c>
      <c r="B191" t="s">
        <v>47</v>
      </c>
      <c r="C191" t="s">
        <v>63</v>
      </c>
      <c r="D191" t="s">
        <v>57</v>
      </c>
      <c r="E191" t="s">
        <v>64</v>
      </c>
      <c r="F191" t="s">
        <v>85</v>
      </c>
      <c r="G191" t="s">
        <v>81</v>
      </c>
      <c r="H191" t="s">
        <v>76</v>
      </c>
      <c r="I191" t="s">
        <v>57</v>
      </c>
      <c r="J191" t="s">
        <v>82</v>
      </c>
      <c r="K191" t="s">
        <v>96</v>
      </c>
      <c r="L191" t="s">
        <v>65</v>
      </c>
      <c r="M191" t="s">
        <v>57</v>
      </c>
      <c r="N191" t="s">
        <v>66</v>
      </c>
      <c r="O191" t="s">
        <v>57</v>
      </c>
      <c r="P191" t="s">
        <v>57</v>
      </c>
      <c r="Q191" t="s">
        <v>57</v>
      </c>
      <c r="R191" t="s">
        <v>65</v>
      </c>
      <c r="S191" t="s">
        <v>57</v>
      </c>
      <c r="T191" t="s">
        <v>57</v>
      </c>
    </row>
    <row r="192" spans="1:20" x14ac:dyDescent="0.35">
      <c r="A192" t="s">
        <v>45</v>
      </c>
      <c r="B192" t="s">
        <v>47</v>
      </c>
      <c r="C192" t="s">
        <v>63</v>
      </c>
      <c r="D192" t="s">
        <v>57</v>
      </c>
      <c r="E192" t="s">
        <v>102</v>
      </c>
      <c r="F192" t="s">
        <v>85</v>
      </c>
      <c r="G192" t="s">
        <v>52</v>
      </c>
      <c r="H192" t="s">
        <v>53</v>
      </c>
      <c r="I192" t="s">
        <v>57</v>
      </c>
      <c r="J192" t="s">
        <v>53</v>
      </c>
      <c r="K192" t="s">
        <v>55</v>
      </c>
      <c r="L192" t="s">
        <v>56</v>
      </c>
      <c r="M192" t="s">
        <v>57</v>
      </c>
      <c r="N192" t="s">
        <v>58</v>
      </c>
      <c r="O192" t="s">
        <v>57</v>
      </c>
      <c r="P192" t="s">
        <v>57</v>
      </c>
      <c r="Q192" t="s">
        <v>57</v>
      </c>
      <c r="R192" t="s">
        <v>59</v>
      </c>
      <c r="S192" t="s">
        <v>57</v>
      </c>
      <c r="T192" t="s">
        <v>57</v>
      </c>
    </row>
    <row r="193" spans="1:20" x14ac:dyDescent="0.35">
      <c r="A193" t="s">
        <v>45</v>
      </c>
      <c r="B193" t="s">
        <v>47</v>
      </c>
      <c r="C193" t="s">
        <v>63</v>
      </c>
      <c r="D193" t="s">
        <v>57</v>
      </c>
      <c r="E193" t="s">
        <v>50</v>
      </c>
      <c r="F193" t="s">
        <v>51</v>
      </c>
      <c r="G193" t="s">
        <v>52</v>
      </c>
      <c r="H193" t="s">
        <v>76</v>
      </c>
      <c r="I193" t="s">
        <v>57</v>
      </c>
      <c r="J193" t="s">
        <v>82</v>
      </c>
      <c r="K193" t="s">
        <v>55</v>
      </c>
      <c r="L193" t="s">
        <v>56</v>
      </c>
      <c r="M193" t="s">
        <v>57</v>
      </c>
      <c r="N193" t="s">
        <v>58</v>
      </c>
      <c r="O193" t="s">
        <v>57</v>
      </c>
      <c r="P193" t="s">
        <v>57</v>
      </c>
      <c r="Q193" t="s">
        <v>57</v>
      </c>
      <c r="R193" t="s">
        <v>59</v>
      </c>
      <c r="S193" t="s">
        <v>57</v>
      </c>
      <c r="T193" t="s">
        <v>57</v>
      </c>
    </row>
    <row r="194" spans="1:20" x14ac:dyDescent="0.35">
      <c r="A194" t="s">
        <v>45</v>
      </c>
      <c r="B194" t="s">
        <v>47</v>
      </c>
      <c r="C194" t="s">
        <v>120</v>
      </c>
      <c r="D194" t="s">
        <v>57</v>
      </c>
      <c r="E194" t="s">
        <v>50</v>
      </c>
      <c r="F194" t="s">
        <v>95</v>
      </c>
      <c r="G194" t="s">
        <v>52</v>
      </c>
      <c r="H194" t="s">
        <v>87</v>
      </c>
      <c r="I194" t="s">
        <v>57</v>
      </c>
      <c r="J194" t="s">
        <v>87</v>
      </c>
      <c r="K194" t="s">
        <v>55</v>
      </c>
      <c r="L194" t="s">
        <v>56</v>
      </c>
      <c r="M194" t="s">
        <v>57</v>
      </c>
      <c r="N194" t="s">
        <v>58</v>
      </c>
      <c r="O194" t="s">
        <v>57</v>
      </c>
      <c r="P194" t="s">
        <v>57</v>
      </c>
      <c r="Q194" t="s">
        <v>57</v>
      </c>
      <c r="R194" t="s">
        <v>59</v>
      </c>
      <c r="S194" t="s">
        <v>57</v>
      </c>
      <c r="T194" t="s">
        <v>57</v>
      </c>
    </row>
    <row r="195" spans="1:20" x14ac:dyDescent="0.35">
      <c r="A195" t="s">
        <v>61</v>
      </c>
      <c r="B195" t="s">
        <v>62</v>
      </c>
      <c r="C195" t="s">
        <v>80</v>
      </c>
      <c r="D195" t="s">
        <v>57</v>
      </c>
      <c r="E195" t="s">
        <v>50</v>
      </c>
      <c r="F195" t="s">
        <v>95</v>
      </c>
      <c r="G195" t="s">
        <v>52</v>
      </c>
      <c r="H195" t="s">
        <v>53</v>
      </c>
      <c r="I195" t="s">
        <v>57</v>
      </c>
      <c r="J195" t="s">
        <v>362</v>
      </c>
      <c r="K195" t="s">
        <v>55</v>
      </c>
      <c r="L195" t="s">
        <v>56</v>
      </c>
      <c r="M195" t="s">
        <v>57</v>
      </c>
      <c r="N195" t="s">
        <v>58</v>
      </c>
      <c r="O195" t="s">
        <v>57</v>
      </c>
      <c r="P195" t="s">
        <v>57</v>
      </c>
      <c r="Q195" t="s">
        <v>57</v>
      </c>
      <c r="R195" t="s">
        <v>59</v>
      </c>
      <c r="S195" t="s">
        <v>57</v>
      </c>
      <c r="T195" t="s">
        <v>57</v>
      </c>
    </row>
    <row r="196" spans="1:20" x14ac:dyDescent="0.35">
      <c r="A196" t="s">
        <v>61</v>
      </c>
      <c r="B196" t="s">
        <v>62</v>
      </c>
      <c r="C196" t="s">
        <v>63</v>
      </c>
      <c r="D196" t="s">
        <v>57</v>
      </c>
      <c r="E196" t="s">
        <v>50</v>
      </c>
      <c r="F196" t="s">
        <v>51</v>
      </c>
      <c r="G196" t="s">
        <v>69</v>
      </c>
      <c r="H196" t="s">
        <v>76</v>
      </c>
      <c r="I196" t="s">
        <v>57</v>
      </c>
      <c r="J196" t="s">
        <v>70</v>
      </c>
      <c r="K196" t="s">
        <v>55</v>
      </c>
      <c r="L196" t="s">
        <v>56</v>
      </c>
      <c r="M196" t="s">
        <v>57</v>
      </c>
      <c r="N196" t="s">
        <v>58</v>
      </c>
      <c r="O196" t="s">
        <v>57</v>
      </c>
      <c r="P196" t="s">
        <v>57</v>
      </c>
      <c r="Q196" t="s">
        <v>57</v>
      </c>
      <c r="R196" t="s">
        <v>59</v>
      </c>
      <c r="S196" t="s">
        <v>57</v>
      </c>
      <c r="T196" t="s">
        <v>57</v>
      </c>
    </row>
    <row r="197" spans="1:20" x14ac:dyDescent="0.35">
      <c r="A197" t="s">
        <v>61</v>
      </c>
      <c r="B197" t="s">
        <v>62</v>
      </c>
      <c r="C197" t="s">
        <v>63</v>
      </c>
      <c r="D197" t="s">
        <v>57</v>
      </c>
      <c r="E197" t="s">
        <v>50</v>
      </c>
      <c r="F197" t="s">
        <v>51</v>
      </c>
      <c r="G197" t="s">
        <v>52</v>
      </c>
      <c r="H197" t="s">
        <v>76</v>
      </c>
      <c r="I197" t="s">
        <v>57</v>
      </c>
      <c r="J197" t="s">
        <v>82</v>
      </c>
      <c r="K197" t="s">
        <v>55</v>
      </c>
      <c r="L197" t="s">
        <v>56</v>
      </c>
      <c r="M197" t="s">
        <v>57</v>
      </c>
      <c r="N197" t="s">
        <v>58</v>
      </c>
      <c r="O197" t="s">
        <v>57</v>
      </c>
      <c r="P197" t="s">
        <v>57</v>
      </c>
      <c r="Q197" t="s">
        <v>57</v>
      </c>
      <c r="R197" t="s">
        <v>59</v>
      </c>
      <c r="S197" t="s">
        <v>57</v>
      </c>
      <c r="T197" t="s">
        <v>57</v>
      </c>
    </row>
    <row r="198" spans="1:20" x14ac:dyDescent="0.35">
      <c r="A198" t="s">
        <v>61</v>
      </c>
      <c r="B198" t="s">
        <v>62</v>
      </c>
      <c r="C198" t="s">
        <v>63</v>
      </c>
      <c r="D198" t="s">
        <v>57</v>
      </c>
      <c r="E198" t="s">
        <v>50</v>
      </c>
      <c r="F198" t="s">
        <v>51</v>
      </c>
      <c r="G198" t="s">
        <v>69</v>
      </c>
      <c r="H198" t="s">
        <v>77</v>
      </c>
      <c r="I198" t="s">
        <v>57</v>
      </c>
      <c r="J198" t="s">
        <v>77</v>
      </c>
      <c r="K198" t="s">
        <v>55</v>
      </c>
      <c r="L198" t="s">
        <v>56</v>
      </c>
      <c r="M198" t="s">
        <v>57</v>
      </c>
      <c r="N198" t="s">
        <v>58</v>
      </c>
      <c r="O198" t="s">
        <v>57</v>
      </c>
      <c r="P198" t="s">
        <v>57</v>
      </c>
      <c r="Q198" t="s">
        <v>57</v>
      </c>
      <c r="R198" t="s">
        <v>59</v>
      </c>
      <c r="S198" t="s">
        <v>57</v>
      </c>
      <c r="T198" t="s">
        <v>57</v>
      </c>
    </row>
    <row r="199" spans="1:20" x14ac:dyDescent="0.35">
      <c r="A199" t="s">
        <v>45</v>
      </c>
      <c r="B199" t="s">
        <v>47</v>
      </c>
      <c r="C199" t="s">
        <v>48</v>
      </c>
      <c r="D199" t="s">
        <v>49</v>
      </c>
      <c r="E199" t="s">
        <v>68</v>
      </c>
      <c r="F199" t="s">
        <v>92</v>
      </c>
      <c r="G199" t="s">
        <v>52</v>
      </c>
      <c r="H199" t="s">
        <v>87</v>
      </c>
      <c r="I199" t="s">
        <v>49</v>
      </c>
      <c r="J199" t="s">
        <v>54</v>
      </c>
      <c r="K199" t="s">
        <v>71</v>
      </c>
      <c r="L199" t="s">
        <v>65</v>
      </c>
      <c r="M199" t="s">
        <v>57</v>
      </c>
      <c r="N199" t="s">
        <v>66</v>
      </c>
      <c r="O199" t="s">
        <v>57</v>
      </c>
      <c r="P199" t="s">
        <v>88</v>
      </c>
      <c r="Q199" t="s">
        <v>49</v>
      </c>
      <c r="R199" t="s">
        <v>83</v>
      </c>
      <c r="S199" t="s">
        <v>57</v>
      </c>
      <c r="T199" t="s">
        <v>57</v>
      </c>
    </row>
    <row r="200" spans="1:20" x14ac:dyDescent="0.35">
      <c r="A200" t="s">
        <v>45</v>
      </c>
      <c r="B200" t="s">
        <v>47</v>
      </c>
      <c r="C200" t="s">
        <v>48</v>
      </c>
      <c r="D200" t="s">
        <v>49</v>
      </c>
      <c r="E200" t="s">
        <v>68</v>
      </c>
      <c r="F200" t="s">
        <v>92</v>
      </c>
      <c r="G200" t="s">
        <v>52</v>
      </c>
      <c r="H200" t="s">
        <v>87</v>
      </c>
      <c r="I200" t="s">
        <v>49</v>
      </c>
      <c r="J200" t="s">
        <v>54</v>
      </c>
      <c r="K200" t="s">
        <v>65</v>
      </c>
      <c r="L200" t="s">
        <v>78</v>
      </c>
      <c r="M200" t="s">
        <v>57</v>
      </c>
      <c r="N200" t="s">
        <v>66</v>
      </c>
      <c r="O200" t="s">
        <v>57</v>
      </c>
      <c r="P200" t="s">
        <v>57</v>
      </c>
      <c r="Q200" t="s">
        <v>49</v>
      </c>
      <c r="R200" t="s">
        <v>83</v>
      </c>
      <c r="S200" t="s">
        <v>57</v>
      </c>
      <c r="T200" t="s">
        <v>49</v>
      </c>
    </row>
    <row r="201" spans="1:20" x14ac:dyDescent="0.35">
      <c r="A201" t="s">
        <v>45</v>
      </c>
      <c r="B201" t="s">
        <v>47</v>
      </c>
      <c r="C201" t="s">
        <v>48</v>
      </c>
      <c r="D201" t="s">
        <v>57</v>
      </c>
      <c r="E201" t="s">
        <v>68</v>
      </c>
      <c r="F201" t="s">
        <v>92</v>
      </c>
      <c r="G201" t="s">
        <v>52</v>
      </c>
      <c r="H201" t="s">
        <v>87</v>
      </c>
      <c r="I201" t="s">
        <v>49</v>
      </c>
      <c r="J201" t="s">
        <v>54</v>
      </c>
      <c r="K201" t="s">
        <v>65</v>
      </c>
      <c r="L201" t="s">
        <v>78</v>
      </c>
      <c r="M201" t="s">
        <v>57</v>
      </c>
      <c r="N201" t="s">
        <v>66</v>
      </c>
      <c r="O201" t="s">
        <v>57</v>
      </c>
      <c r="P201" t="s">
        <v>57</v>
      </c>
      <c r="Q201" t="s">
        <v>49</v>
      </c>
      <c r="R201" t="s">
        <v>83</v>
      </c>
      <c r="S201" t="s">
        <v>57</v>
      </c>
      <c r="T201" t="s">
        <v>49</v>
      </c>
    </row>
    <row r="202" spans="1:20" x14ac:dyDescent="0.35">
      <c r="A202" t="s">
        <v>45</v>
      </c>
      <c r="B202" t="s">
        <v>47</v>
      </c>
      <c r="C202" t="s">
        <v>63</v>
      </c>
      <c r="D202" t="s">
        <v>49</v>
      </c>
      <c r="E202" t="s">
        <v>102</v>
      </c>
      <c r="F202" t="s">
        <v>51</v>
      </c>
      <c r="G202" t="s">
        <v>52</v>
      </c>
      <c r="H202" t="s">
        <v>53</v>
      </c>
      <c r="I202" t="s">
        <v>49</v>
      </c>
      <c r="J202" t="s">
        <v>53</v>
      </c>
      <c r="K202" t="s">
        <v>96</v>
      </c>
      <c r="L202" t="s">
        <v>65</v>
      </c>
      <c r="M202" t="s">
        <v>57</v>
      </c>
      <c r="N202" t="s">
        <v>66</v>
      </c>
      <c r="O202" t="s">
        <v>57</v>
      </c>
      <c r="P202" t="s">
        <v>49</v>
      </c>
      <c r="Q202" t="s">
        <v>49</v>
      </c>
      <c r="R202" t="s">
        <v>83</v>
      </c>
      <c r="S202" t="s">
        <v>57</v>
      </c>
      <c r="T202" t="s">
        <v>49</v>
      </c>
    </row>
    <row r="207" spans="1:20" x14ac:dyDescent="0.35">
      <c r="K207" t="s">
        <v>365</v>
      </c>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F76A-DC49-4599-9FC6-76ABB95E1E18}">
  <dimension ref="A1:O71"/>
  <sheetViews>
    <sheetView showGridLines="0" workbookViewId="0">
      <selection activeCell="H21" sqref="H21"/>
    </sheetView>
  </sheetViews>
  <sheetFormatPr defaultRowHeight="14.5" x14ac:dyDescent="0.35"/>
  <cols>
    <col min="1" max="1" width="12.36328125" bestFit="1" customWidth="1"/>
    <col min="2" max="2" width="39.08984375" bestFit="1" customWidth="1"/>
    <col min="3" max="3" width="15.26953125" bestFit="1" customWidth="1"/>
    <col min="4" max="4" width="3.6328125" bestFit="1" customWidth="1"/>
    <col min="5" max="5" width="10.7265625" bestFit="1" customWidth="1"/>
    <col min="6" max="6" width="39.08984375" bestFit="1" customWidth="1"/>
    <col min="7" max="7" width="35.453125" bestFit="1" customWidth="1"/>
    <col min="8" max="8" width="15.26953125" bestFit="1" customWidth="1"/>
    <col min="9" max="9" width="8" bestFit="1" customWidth="1"/>
    <col min="10" max="10" width="3.81640625" bestFit="1" customWidth="1"/>
    <col min="11" max="11" width="10.7265625" bestFit="1" customWidth="1"/>
    <col min="12" max="12" width="8.453125" bestFit="1" customWidth="1"/>
    <col min="13" max="13" width="10.7265625" bestFit="1" customWidth="1"/>
  </cols>
  <sheetData>
    <row r="1" spans="1:15" x14ac:dyDescent="0.35">
      <c r="A1" s="11"/>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3"/>
      <c r="B3" s="3"/>
      <c r="C3" s="3"/>
      <c r="D3" s="3"/>
      <c r="E3" s="3"/>
      <c r="F3" s="3"/>
      <c r="G3" s="3"/>
      <c r="H3" s="3"/>
      <c r="I3" s="3"/>
      <c r="J3" s="3"/>
      <c r="K3" s="3"/>
      <c r="L3" s="3"/>
      <c r="M3" s="3"/>
      <c r="N3" s="3"/>
      <c r="O3" s="3"/>
    </row>
    <row r="4" spans="1:15" x14ac:dyDescent="0.35">
      <c r="A4" s="3"/>
      <c r="B4" s="3"/>
      <c r="C4" s="3"/>
      <c r="D4" s="3"/>
      <c r="E4" s="3"/>
      <c r="F4" s="3"/>
      <c r="G4" s="3"/>
      <c r="H4" s="3"/>
      <c r="I4" s="3"/>
      <c r="J4" s="3"/>
      <c r="K4" s="3"/>
      <c r="L4" s="3"/>
      <c r="M4" s="3"/>
      <c r="N4" s="3"/>
      <c r="O4" s="3"/>
    </row>
    <row r="5" spans="1:15" x14ac:dyDescent="0.35">
      <c r="A5" s="3"/>
      <c r="B5" s="3" t="s">
        <v>366</v>
      </c>
      <c r="C5" s="3" t="s">
        <v>379</v>
      </c>
      <c r="D5" s="3"/>
      <c r="E5" s="3"/>
      <c r="F5" s="3" t="s">
        <v>366</v>
      </c>
      <c r="G5" s="3" t="s">
        <v>368</v>
      </c>
      <c r="H5" s="3"/>
      <c r="I5" s="3"/>
      <c r="J5" s="3"/>
      <c r="K5" s="3"/>
      <c r="L5" s="3"/>
      <c r="M5" s="3"/>
      <c r="N5" s="3"/>
      <c r="O5" s="3"/>
    </row>
    <row r="6" spans="1:15" x14ac:dyDescent="0.35">
      <c r="A6" s="3"/>
      <c r="B6" s="4" t="s">
        <v>45</v>
      </c>
      <c r="C6" s="3">
        <v>100</v>
      </c>
      <c r="D6" s="3"/>
      <c r="E6" s="3"/>
      <c r="F6" s="4" t="s">
        <v>49</v>
      </c>
      <c r="G6" s="3">
        <v>104</v>
      </c>
      <c r="H6" s="3"/>
      <c r="I6" s="3"/>
      <c r="J6" s="3"/>
      <c r="K6" s="3"/>
      <c r="L6" s="3"/>
      <c r="M6" s="3"/>
      <c r="N6" s="3"/>
      <c r="O6" s="3"/>
    </row>
    <row r="7" spans="1:15" x14ac:dyDescent="0.35">
      <c r="A7" s="3"/>
      <c r="B7" s="4" t="s">
        <v>61</v>
      </c>
      <c r="C7" s="3">
        <v>97</v>
      </c>
      <c r="D7" s="3"/>
      <c r="E7" s="3"/>
      <c r="F7" s="4" t="s">
        <v>57</v>
      </c>
      <c r="G7" s="3">
        <v>97</v>
      </c>
      <c r="H7" s="3"/>
      <c r="I7" s="3"/>
      <c r="J7" s="3"/>
      <c r="K7" s="3"/>
      <c r="L7" s="3"/>
      <c r="M7" s="3"/>
      <c r="N7" s="3"/>
      <c r="O7" s="3"/>
    </row>
    <row r="8" spans="1:15" x14ac:dyDescent="0.35">
      <c r="A8" s="3"/>
      <c r="B8" s="4" t="s">
        <v>184</v>
      </c>
      <c r="C8" s="3">
        <v>4</v>
      </c>
      <c r="D8" s="3"/>
      <c r="E8" s="3"/>
      <c r="F8" s="4" t="s">
        <v>367</v>
      </c>
      <c r="G8" s="3">
        <v>201</v>
      </c>
      <c r="H8" s="3"/>
      <c r="I8" s="3"/>
      <c r="J8" s="3"/>
      <c r="K8" s="3"/>
      <c r="L8" s="3"/>
      <c r="M8" s="3"/>
      <c r="N8" s="3"/>
      <c r="O8" s="3"/>
    </row>
    <row r="9" spans="1:15" x14ac:dyDescent="0.35">
      <c r="A9" s="3"/>
      <c r="B9" s="4" t="s">
        <v>367</v>
      </c>
      <c r="C9" s="3">
        <v>201</v>
      </c>
      <c r="D9" s="3"/>
      <c r="E9" s="3"/>
      <c r="F9" s="3"/>
      <c r="G9" s="3"/>
      <c r="H9" s="3"/>
      <c r="I9" s="3"/>
      <c r="J9" s="3"/>
      <c r="K9" s="3"/>
      <c r="L9" s="3"/>
      <c r="M9" s="3"/>
      <c r="N9" s="3"/>
      <c r="O9" s="3"/>
    </row>
    <row r="10" spans="1:15" x14ac:dyDescent="0.35">
      <c r="A10" s="3"/>
      <c r="B10" s="3"/>
      <c r="C10" s="3"/>
      <c r="D10" s="3"/>
      <c r="E10" s="3"/>
      <c r="F10" s="3"/>
      <c r="G10" s="3"/>
      <c r="H10" s="3"/>
      <c r="I10" s="3"/>
      <c r="J10" s="3"/>
      <c r="K10" s="3"/>
      <c r="L10" s="3"/>
      <c r="M10" s="3"/>
      <c r="N10" s="3"/>
      <c r="O10" s="3"/>
    </row>
    <row r="11" spans="1:15" x14ac:dyDescent="0.35">
      <c r="A11" s="3"/>
      <c r="B11" s="3"/>
      <c r="C11" s="3"/>
      <c r="D11" s="3"/>
      <c r="E11" s="3"/>
      <c r="F11" s="3"/>
      <c r="G11" s="5" t="s">
        <v>369</v>
      </c>
      <c r="H11" s="5">
        <f>GETPIVOTDATA("Awareness_Of_Reporting_Channels",$F$5)</f>
        <v>201</v>
      </c>
      <c r="I11" s="3"/>
      <c r="J11" s="3"/>
      <c r="K11" s="3"/>
      <c r="L11" s="3"/>
      <c r="M11" s="3"/>
      <c r="N11" s="3"/>
      <c r="O11" s="3"/>
    </row>
    <row r="12" spans="1:15" x14ac:dyDescent="0.35">
      <c r="A12" s="3"/>
      <c r="B12" s="3" t="s">
        <v>366</v>
      </c>
      <c r="C12" s="3" t="s">
        <v>380</v>
      </c>
      <c r="D12" s="3"/>
      <c r="E12" s="3"/>
      <c r="F12" s="3"/>
      <c r="G12" s="3"/>
      <c r="H12" s="3"/>
      <c r="I12" s="3"/>
      <c r="J12" s="3"/>
      <c r="K12" s="3"/>
      <c r="L12" s="3"/>
      <c r="M12" s="3"/>
      <c r="N12" s="3"/>
      <c r="O12" s="3"/>
    </row>
    <row r="13" spans="1:15" x14ac:dyDescent="0.35">
      <c r="A13" s="3"/>
      <c r="B13" s="4" t="s">
        <v>49</v>
      </c>
      <c r="C13" s="3">
        <v>32</v>
      </c>
      <c r="D13" s="3"/>
      <c r="E13" s="3"/>
      <c r="F13" s="3"/>
      <c r="G13" s="5" t="s">
        <v>370</v>
      </c>
      <c r="H13" s="5">
        <f>GETPIVOTDATA("Gender",$B$5,"Gender","Male")</f>
        <v>97</v>
      </c>
      <c r="I13" s="3"/>
      <c r="J13" s="3"/>
      <c r="K13" s="3"/>
      <c r="L13" s="3"/>
      <c r="M13" s="3"/>
      <c r="N13" s="3"/>
      <c r="O13" s="3"/>
    </row>
    <row r="14" spans="1:15" x14ac:dyDescent="0.35">
      <c r="A14" s="3"/>
      <c r="B14" s="4" t="s">
        <v>88</v>
      </c>
      <c r="C14" s="3">
        <v>23</v>
      </c>
      <c r="D14" s="3"/>
      <c r="E14" s="3"/>
      <c r="F14" s="3"/>
      <c r="G14" s="3"/>
      <c r="H14" s="3"/>
      <c r="I14" s="3"/>
      <c r="J14" s="3"/>
      <c r="K14" s="3"/>
      <c r="L14" s="3"/>
      <c r="M14" s="3"/>
      <c r="N14" s="3"/>
      <c r="O14" s="3"/>
    </row>
    <row r="15" spans="1:15" x14ac:dyDescent="0.35">
      <c r="A15" s="3"/>
      <c r="B15" s="4" t="s">
        <v>57</v>
      </c>
      <c r="C15" s="3">
        <v>146</v>
      </c>
      <c r="D15" s="3"/>
      <c r="E15" s="3"/>
      <c r="F15" s="3"/>
      <c r="G15" s="5" t="s">
        <v>371</v>
      </c>
      <c r="H15" s="5">
        <f>GETPIVOTDATA("Gender",$B$5,"Gender","Female")</f>
        <v>100</v>
      </c>
      <c r="I15" s="3"/>
      <c r="J15" s="3"/>
      <c r="K15" s="3"/>
      <c r="L15" s="3"/>
      <c r="M15" s="3"/>
      <c r="N15" s="3"/>
      <c r="O15" s="3"/>
    </row>
    <row r="16" spans="1:15" x14ac:dyDescent="0.35">
      <c r="A16" s="3"/>
      <c r="B16" s="4" t="s">
        <v>367</v>
      </c>
      <c r="C16" s="3">
        <v>201</v>
      </c>
      <c r="D16" s="3"/>
      <c r="E16" s="3"/>
      <c r="F16" s="3"/>
      <c r="G16" s="3"/>
      <c r="H16" s="3"/>
      <c r="I16" s="3"/>
      <c r="J16" s="3"/>
      <c r="K16" s="3"/>
      <c r="L16" s="3"/>
      <c r="M16" s="3"/>
      <c r="N16" s="3"/>
      <c r="O16" s="3"/>
    </row>
    <row r="17" spans="1:15" x14ac:dyDescent="0.35">
      <c r="A17" s="3"/>
      <c r="B17" s="3"/>
      <c r="C17" s="3"/>
      <c r="D17" s="3"/>
      <c r="E17" s="3"/>
      <c r="F17" s="3"/>
      <c r="G17" s="5" t="s">
        <v>372</v>
      </c>
      <c r="H17" s="6">
        <f>GETPIVOTDATA("Awareness_Of_Reporting_Channels",$F$5,"Awareness_Of_Reporting_Channels","Yes")/GETPIVOTDATA("Awareness_Of_Reporting_Channels",$F$5)</f>
        <v>0.48258706467661694</v>
      </c>
      <c r="I17" s="3"/>
      <c r="J17" s="3"/>
      <c r="K17" s="3"/>
      <c r="L17" s="3"/>
      <c r="M17" s="3"/>
      <c r="N17" s="3"/>
      <c r="O17" s="3"/>
    </row>
    <row r="18" spans="1:15" x14ac:dyDescent="0.35">
      <c r="A18" s="3"/>
      <c r="B18" s="3"/>
      <c r="C18" s="3"/>
      <c r="D18" s="3"/>
      <c r="E18" s="3"/>
      <c r="F18" s="3"/>
      <c r="G18" s="3"/>
      <c r="H18" s="3"/>
      <c r="I18" s="3"/>
      <c r="J18" s="3"/>
      <c r="K18" s="3"/>
      <c r="L18" s="3"/>
      <c r="M18" s="3"/>
      <c r="N18" s="3"/>
      <c r="O18" s="3"/>
    </row>
    <row r="19" spans="1:15" x14ac:dyDescent="0.35">
      <c r="A19" s="3"/>
      <c r="B19" s="3" t="s">
        <v>366</v>
      </c>
      <c r="C19" s="3" t="s">
        <v>378</v>
      </c>
      <c r="D19" s="3"/>
      <c r="E19" s="3"/>
      <c r="F19" s="3"/>
      <c r="G19" s="5" t="s">
        <v>373</v>
      </c>
      <c r="H19" s="7">
        <f>GETPIVOTDATA("Awareness_Of_Reporting_Channels",$F$5,"Awareness_Of_Reporting_Channels","No")/GETPIVOTDATA("Awareness_Of_Reporting_Channels",$F$5)</f>
        <v>0.51741293532338306</v>
      </c>
      <c r="I19" s="3"/>
      <c r="J19" s="3"/>
      <c r="K19" s="3"/>
      <c r="L19" s="3"/>
      <c r="M19" s="3"/>
      <c r="N19" s="3"/>
      <c r="O19" s="3"/>
    </row>
    <row r="20" spans="1:15" x14ac:dyDescent="0.35">
      <c r="A20" s="3"/>
      <c r="B20" s="4" t="s">
        <v>48</v>
      </c>
      <c r="C20" s="3">
        <v>52</v>
      </c>
      <c r="D20" s="3"/>
      <c r="E20" s="3"/>
      <c r="F20" s="3"/>
      <c r="G20" s="3"/>
      <c r="H20" s="3"/>
      <c r="I20" s="3"/>
      <c r="J20" s="3"/>
      <c r="K20" s="3"/>
      <c r="L20" s="3"/>
      <c r="M20" s="3"/>
      <c r="N20" s="3"/>
      <c r="O20" s="3"/>
    </row>
    <row r="21" spans="1:15" x14ac:dyDescent="0.35">
      <c r="A21" s="3"/>
      <c r="B21" s="4" t="s">
        <v>120</v>
      </c>
      <c r="C21" s="3">
        <v>38</v>
      </c>
      <c r="D21" s="3"/>
      <c r="E21" s="3"/>
      <c r="F21" s="3"/>
      <c r="G21" s="5" t="s">
        <v>387</v>
      </c>
      <c r="H21" s="5">
        <f>Dashboard!R4</f>
        <v>0</v>
      </c>
      <c r="I21" s="3"/>
      <c r="J21" s="3"/>
      <c r="K21" s="3"/>
      <c r="L21" s="3"/>
      <c r="M21" s="3"/>
      <c r="N21" s="3"/>
      <c r="O21" s="3"/>
    </row>
    <row r="22" spans="1:15" x14ac:dyDescent="0.35">
      <c r="A22" s="3"/>
      <c r="B22" s="4" t="s">
        <v>80</v>
      </c>
      <c r="C22" s="3">
        <v>38</v>
      </c>
      <c r="D22" s="3"/>
      <c r="E22" s="3"/>
      <c r="F22" s="3"/>
      <c r="G22" s="3"/>
      <c r="H22" s="3"/>
      <c r="I22" s="3"/>
      <c r="J22" s="3"/>
      <c r="K22" s="3"/>
      <c r="L22" s="3"/>
      <c r="M22" s="3"/>
      <c r="N22" s="3"/>
      <c r="O22" s="3"/>
    </row>
    <row r="23" spans="1:15" x14ac:dyDescent="0.35">
      <c r="A23" s="3"/>
      <c r="B23" s="4" t="s">
        <v>385</v>
      </c>
      <c r="C23" s="3">
        <v>45</v>
      </c>
      <c r="D23" s="3"/>
      <c r="E23" s="3"/>
      <c r="F23" s="3"/>
      <c r="G23" s="3"/>
      <c r="H23" s="3"/>
      <c r="I23" s="3"/>
      <c r="J23" s="3"/>
      <c r="K23" s="3"/>
      <c r="L23" s="3"/>
      <c r="M23" s="3"/>
      <c r="N23" s="3"/>
      <c r="O23" s="3"/>
    </row>
    <row r="24" spans="1:15" x14ac:dyDescent="0.35">
      <c r="A24" s="3"/>
      <c r="B24" s="4" t="s">
        <v>63</v>
      </c>
      <c r="C24" s="3">
        <v>28</v>
      </c>
      <c r="D24" s="3"/>
      <c r="E24" s="3"/>
      <c r="F24" s="3"/>
      <c r="G24" s="3" t="s">
        <v>366</v>
      </c>
      <c r="H24" s="3" t="s">
        <v>374</v>
      </c>
      <c r="I24" s="3"/>
      <c r="J24" s="3"/>
      <c r="K24" s="3"/>
      <c r="L24" s="3"/>
      <c r="M24" s="3"/>
      <c r="N24" s="3"/>
      <c r="O24" s="3"/>
    </row>
    <row r="25" spans="1:15" x14ac:dyDescent="0.35">
      <c r="A25" s="3"/>
      <c r="B25" s="4" t="s">
        <v>367</v>
      </c>
      <c r="C25" s="3">
        <v>201</v>
      </c>
      <c r="D25" s="3"/>
      <c r="E25" s="3"/>
      <c r="F25" s="3"/>
      <c r="G25" s="4" t="s">
        <v>96</v>
      </c>
      <c r="H25" s="3">
        <v>51</v>
      </c>
      <c r="I25" s="3"/>
      <c r="J25" s="3"/>
      <c r="K25" s="3"/>
      <c r="L25" s="3"/>
      <c r="M25" s="3"/>
      <c r="N25" s="3"/>
      <c r="O25" s="3"/>
    </row>
    <row r="26" spans="1:15" x14ac:dyDescent="0.35">
      <c r="A26" s="3"/>
      <c r="B26" s="3"/>
      <c r="C26" s="3"/>
      <c r="D26" s="3"/>
      <c r="E26" s="3"/>
      <c r="F26" s="3"/>
      <c r="G26" s="4" t="s">
        <v>65</v>
      </c>
      <c r="H26" s="3">
        <v>63</v>
      </c>
      <c r="I26" s="3"/>
      <c r="J26" s="3"/>
      <c r="K26" s="3"/>
      <c r="L26" s="3"/>
      <c r="M26" s="3"/>
      <c r="N26" s="3"/>
      <c r="O26" s="3"/>
    </row>
    <row r="27" spans="1:15" x14ac:dyDescent="0.35">
      <c r="A27" s="3"/>
      <c r="B27" s="3"/>
      <c r="C27" s="3"/>
      <c r="D27" s="3"/>
      <c r="E27" s="3"/>
      <c r="F27" s="3"/>
      <c r="G27" s="4" t="s">
        <v>71</v>
      </c>
      <c r="H27" s="3">
        <v>28</v>
      </c>
      <c r="I27" s="3"/>
      <c r="J27" s="3"/>
      <c r="K27" s="3"/>
      <c r="L27" s="3"/>
      <c r="M27" s="3"/>
      <c r="N27" s="3"/>
      <c r="O27" s="3"/>
    </row>
    <row r="28" spans="1:15" x14ac:dyDescent="0.35">
      <c r="A28" s="3"/>
      <c r="B28" s="3" t="s">
        <v>366</v>
      </c>
      <c r="C28" s="3" t="s">
        <v>376</v>
      </c>
      <c r="D28" s="3"/>
      <c r="E28" s="3"/>
      <c r="F28" s="3"/>
      <c r="G28" s="4" t="s">
        <v>55</v>
      </c>
      <c r="H28" s="3">
        <v>51</v>
      </c>
      <c r="I28" s="3"/>
      <c r="J28" s="3"/>
      <c r="K28" s="3"/>
      <c r="L28" s="3"/>
      <c r="M28" s="3"/>
      <c r="N28" s="3"/>
      <c r="O28" s="3"/>
    </row>
    <row r="29" spans="1:15" x14ac:dyDescent="0.35">
      <c r="A29" s="3"/>
      <c r="B29" s="4" t="s">
        <v>92</v>
      </c>
      <c r="C29" s="3">
        <v>13</v>
      </c>
      <c r="D29" s="3"/>
      <c r="E29" s="3"/>
      <c r="F29" s="3"/>
      <c r="G29" s="4" t="s">
        <v>110</v>
      </c>
      <c r="H29" s="3">
        <v>8</v>
      </c>
      <c r="I29" s="3"/>
      <c r="J29" s="3"/>
      <c r="K29" s="3"/>
      <c r="L29" s="3"/>
      <c r="M29" s="3"/>
      <c r="N29" s="3"/>
      <c r="O29" s="3"/>
    </row>
    <row r="30" spans="1:15" x14ac:dyDescent="0.35">
      <c r="A30" s="3"/>
      <c r="B30" s="4" t="s">
        <v>95</v>
      </c>
      <c r="C30" s="3">
        <v>31</v>
      </c>
      <c r="D30" s="3"/>
      <c r="E30" s="3"/>
      <c r="F30" s="3"/>
      <c r="G30" s="4" t="s">
        <v>367</v>
      </c>
      <c r="H30" s="3">
        <v>201</v>
      </c>
      <c r="I30" s="3"/>
      <c r="J30" s="3"/>
      <c r="K30" s="3"/>
      <c r="L30" s="3"/>
      <c r="M30" s="3"/>
      <c r="N30" s="3"/>
      <c r="O30" s="3"/>
    </row>
    <row r="31" spans="1:15" x14ac:dyDescent="0.35">
      <c r="A31" s="3"/>
      <c r="B31" s="4" t="s">
        <v>99</v>
      </c>
      <c r="C31" s="3">
        <v>16</v>
      </c>
      <c r="D31" s="3"/>
      <c r="E31" s="3"/>
      <c r="F31" s="3"/>
      <c r="G31" s="3"/>
      <c r="H31" s="3"/>
      <c r="I31" s="3"/>
      <c r="J31" s="3"/>
      <c r="K31" s="3"/>
      <c r="L31" s="3"/>
      <c r="M31" s="3"/>
      <c r="N31" s="3"/>
      <c r="O31" s="3"/>
    </row>
    <row r="32" spans="1:15" x14ac:dyDescent="0.35">
      <c r="A32" s="3"/>
      <c r="B32" s="4" t="s">
        <v>51</v>
      </c>
      <c r="C32" s="3">
        <v>64</v>
      </c>
      <c r="D32" s="3"/>
      <c r="E32" s="3"/>
      <c r="F32" s="3"/>
      <c r="G32" s="3" t="s">
        <v>366</v>
      </c>
      <c r="H32" s="3" t="s">
        <v>376</v>
      </c>
      <c r="I32" s="3"/>
      <c r="J32" s="3"/>
      <c r="K32" s="3"/>
      <c r="L32" s="3"/>
      <c r="M32" s="3"/>
      <c r="N32" s="3"/>
      <c r="O32" s="3"/>
    </row>
    <row r="33" spans="1:15" x14ac:dyDescent="0.35">
      <c r="A33" s="3"/>
      <c r="B33" s="4" t="s">
        <v>85</v>
      </c>
      <c r="C33" s="3">
        <v>29</v>
      </c>
      <c r="D33" s="3"/>
      <c r="E33" s="3"/>
      <c r="F33" s="3"/>
      <c r="G33" s="4" t="s">
        <v>92</v>
      </c>
      <c r="H33" s="3">
        <v>13</v>
      </c>
      <c r="I33" s="3"/>
      <c r="J33" s="3"/>
      <c r="K33" s="3"/>
      <c r="L33" s="3"/>
      <c r="M33" s="3"/>
      <c r="N33" s="3"/>
      <c r="O33" s="3"/>
    </row>
    <row r="34" spans="1:15" x14ac:dyDescent="0.35">
      <c r="A34" s="3"/>
      <c r="B34" s="4" t="s">
        <v>357</v>
      </c>
      <c r="C34" s="3">
        <v>48</v>
      </c>
      <c r="D34" s="3"/>
      <c r="E34" s="3"/>
      <c r="F34" s="3"/>
      <c r="G34" s="4" t="s">
        <v>95</v>
      </c>
      <c r="H34" s="3">
        <v>31</v>
      </c>
      <c r="I34" s="3"/>
      <c r="J34" s="3"/>
      <c r="K34" s="3"/>
      <c r="L34" s="3"/>
      <c r="M34" s="3"/>
      <c r="N34" s="3"/>
      <c r="O34" s="3"/>
    </row>
    <row r="35" spans="1:15" x14ac:dyDescent="0.35">
      <c r="A35" s="3"/>
      <c r="B35" s="4" t="s">
        <v>367</v>
      </c>
      <c r="C35" s="3">
        <v>201</v>
      </c>
      <c r="D35" s="3"/>
      <c r="E35" s="3"/>
      <c r="F35" s="3"/>
      <c r="G35" s="4" t="s">
        <v>99</v>
      </c>
      <c r="H35" s="3">
        <v>16</v>
      </c>
      <c r="I35" s="3"/>
      <c r="J35" s="3"/>
      <c r="K35" s="3"/>
      <c r="L35" s="3"/>
      <c r="M35" s="3"/>
      <c r="N35" s="3"/>
      <c r="O35" s="3"/>
    </row>
    <row r="36" spans="1:15" x14ac:dyDescent="0.35">
      <c r="A36" s="3"/>
      <c r="B36" s="3"/>
      <c r="C36" s="3"/>
      <c r="D36" s="3"/>
      <c r="E36" s="3"/>
      <c r="F36" s="3"/>
      <c r="G36" s="4" t="s">
        <v>51</v>
      </c>
      <c r="H36" s="3">
        <v>64</v>
      </c>
      <c r="I36" s="3"/>
      <c r="J36" s="3"/>
      <c r="K36" s="3"/>
      <c r="L36" s="3"/>
      <c r="M36" s="3"/>
      <c r="N36" s="3"/>
      <c r="O36" s="3"/>
    </row>
    <row r="37" spans="1:15" x14ac:dyDescent="0.35">
      <c r="A37" s="3"/>
      <c r="B37" s="3"/>
      <c r="C37" s="3"/>
      <c r="D37" s="3"/>
      <c r="E37" s="3"/>
      <c r="F37" s="3"/>
      <c r="G37" s="4" t="s">
        <v>85</v>
      </c>
      <c r="H37" s="3">
        <v>29</v>
      </c>
      <c r="I37" s="3"/>
      <c r="J37" s="3"/>
      <c r="K37" s="3"/>
      <c r="L37" s="3"/>
      <c r="M37" s="3"/>
      <c r="N37" s="3"/>
      <c r="O37" s="3"/>
    </row>
    <row r="38" spans="1:15" x14ac:dyDescent="0.35">
      <c r="A38" s="3"/>
      <c r="B38" s="3" t="s">
        <v>368</v>
      </c>
      <c r="C38" s="3" t="s">
        <v>381</v>
      </c>
      <c r="D38" s="3"/>
      <c r="E38" s="3"/>
      <c r="F38" s="3"/>
      <c r="G38" s="4" t="s">
        <v>357</v>
      </c>
      <c r="H38" s="3">
        <v>48</v>
      </c>
      <c r="I38" s="3"/>
      <c r="J38" s="3"/>
      <c r="K38" s="3"/>
      <c r="L38" s="3"/>
      <c r="M38" s="3"/>
      <c r="N38" s="3"/>
      <c r="O38" s="3"/>
    </row>
    <row r="39" spans="1:15" x14ac:dyDescent="0.35">
      <c r="A39" s="3"/>
      <c r="B39" s="3" t="s">
        <v>366</v>
      </c>
      <c r="C39" s="3" t="s">
        <v>49</v>
      </c>
      <c r="D39" s="3" t="s">
        <v>57</v>
      </c>
      <c r="E39" s="3" t="s">
        <v>367</v>
      </c>
      <c r="F39" s="3"/>
      <c r="G39" s="4" t="s">
        <v>367</v>
      </c>
      <c r="H39" s="3">
        <v>201</v>
      </c>
      <c r="I39" s="3"/>
      <c r="J39" s="3"/>
      <c r="K39" s="3"/>
      <c r="L39" s="3"/>
      <c r="M39" s="3"/>
      <c r="N39" s="3"/>
      <c r="O39" s="3"/>
    </row>
    <row r="40" spans="1:15" x14ac:dyDescent="0.35">
      <c r="A40" s="3"/>
      <c r="B40" s="4" t="s">
        <v>48</v>
      </c>
      <c r="C40" s="13">
        <v>40</v>
      </c>
      <c r="D40" s="13">
        <v>12</v>
      </c>
      <c r="E40" s="13">
        <v>52</v>
      </c>
      <c r="F40" s="3"/>
      <c r="G40" s="3"/>
      <c r="H40" s="3"/>
      <c r="I40" s="3"/>
      <c r="J40" s="3"/>
      <c r="K40" s="3"/>
      <c r="L40" s="3"/>
      <c r="M40" s="3"/>
      <c r="N40" s="3"/>
      <c r="O40" s="3"/>
    </row>
    <row r="41" spans="1:15" x14ac:dyDescent="0.35">
      <c r="A41" s="3"/>
      <c r="B41" s="4" t="s">
        <v>120</v>
      </c>
      <c r="C41" s="13">
        <v>25</v>
      </c>
      <c r="D41" s="13">
        <v>13</v>
      </c>
      <c r="E41" s="13">
        <v>38</v>
      </c>
      <c r="F41" s="3"/>
      <c r="G41" s="3"/>
      <c r="H41" s="3"/>
      <c r="I41" s="3"/>
      <c r="J41" s="3"/>
      <c r="K41" s="3"/>
      <c r="L41" s="3"/>
      <c r="M41" s="3"/>
      <c r="N41" s="3"/>
      <c r="O41" s="3"/>
    </row>
    <row r="42" spans="1:15" x14ac:dyDescent="0.35">
      <c r="A42" s="3"/>
      <c r="B42" s="4" t="s">
        <v>80</v>
      </c>
      <c r="C42" s="13">
        <v>18</v>
      </c>
      <c r="D42" s="13">
        <v>20</v>
      </c>
      <c r="E42" s="13">
        <v>38</v>
      </c>
      <c r="F42" s="3"/>
      <c r="G42" s="3"/>
      <c r="H42" s="3"/>
      <c r="I42" s="3"/>
      <c r="J42" s="3"/>
      <c r="K42" s="3"/>
      <c r="L42" s="3"/>
      <c r="M42" s="3"/>
      <c r="N42" s="3"/>
      <c r="O42" s="3"/>
    </row>
    <row r="43" spans="1:15" x14ac:dyDescent="0.35">
      <c r="A43" s="3"/>
      <c r="B43" s="4" t="s">
        <v>385</v>
      </c>
      <c r="C43" s="13">
        <v>14</v>
      </c>
      <c r="D43" s="13">
        <v>31</v>
      </c>
      <c r="E43" s="13">
        <v>45</v>
      </c>
      <c r="F43" s="3"/>
      <c r="G43" s="3" t="s">
        <v>366</v>
      </c>
      <c r="H43" s="3" t="s">
        <v>383</v>
      </c>
      <c r="I43" s="3"/>
      <c r="J43" s="3"/>
      <c r="K43" s="3"/>
      <c r="L43" s="3"/>
      <c r="M43" s="3"/>
      <c r="N43" s="3"/>
      <c r="O43" s="3"/>
    </row>
    <row r="44" spans="1:15" x14ac:dyDescent="0.35">
      <c r="A44" s="3"/>
      <c r="B44" s="4" t="s">
        <v>63</v>
      </c>
      <c r="C44" s="13">
        <v>7</v>
      </c>
      <c r="D44" s="13">
        <v>21</v>
      </c>
      <c r="E44" s="13">
        <v>28</v>
      </c>
      <c r="F44" s="3"/>
      <c r="G44" s="4" t="s">
        <v>77</v>
      </c>
      <c r="H44" s="3">
        <v>16</v>
      </c>
      <c r="I44" s="3"/>
      <c r="J44" s="3"/>
      <c r="K44" s="3"/>
      <c r="L44" s="3"/>
      <c r="M44" s="3"/>
      <c r="N44" s="3"/>
      <c r="O44" s="3"/>
    </row>
    <row r="45" spans="1:15" x14ac:dyDescent="0.35">
      <c r="A45" s="3"/>
      <c r="B45" s="4" t="s">
        <v>367</v>
      </c>
      <c r="C45" s="13">
        <v>104</v>
      </c>
      <c r="D45" s="13">
        <v>97</v>
      </c>
      <c r="E45" s="13">
        <v>201</v>
      </c>
      <c r="F45" s="3"/>
      <c r="G45" s="4" t="s">
        <v>87</v>
      </c>
      <c r="H45" s="3">
        <v>19</v>
      </c>
      <c r="I45" s="3"/>
      <c r="J45" s="3"/>
      <c r="K45" s="3"/>
      <c r="L45" s="3"/>
      <c r="M45" s="3"/>
      <c r="N45" s="3"/>
      <c r="O45" s="3"/>
    </row>
    <row r="46" spans="1:15" x14ac:dyDescent="0.35">
      <c r="A46" s="3"/>
      <c r="B46" s="3"/>
      <c r="C46" s="3"/>
      <c r="D46" s="3"/>
      <c r="E46" s="3"/>
      <c r="F46" s="3"/>
      <c r="G46" s="4" t="s">
        <v>100</v>
      </c>
      <c r="H46" s="3">
        <v>16</v>
      </c>
      <c r="I46" s="3"/>
      <c r="J46" s="3"/>
      <c r="K46" s="3"/>
      <c r="L46" s="3"/>
      <c r="M46" s="3"/>
      <c r="N46" s="3"/>
      <c r="O46" s="3"/>
    </row>
    <row r="47" spans="1:15" x14ac:dyDescent="0.35">
      <c r="A47" s="3"/>
      <c r="B47" s="3"/>
      <c r="C47" s="3"/>
      <c r="D47" s="3"/>
      <c r="E47" s="3"/>
      <c r="F47" s="3"/>
      <c r="G47" s="4" t="s">
        <v>76</v>
      </c>
      <c r="H47" s="3">
        <v>21</v>
      </c>
      <c r="I47" s="3"/>
      <c r="J47" s="3"/>
      <c r="K47" s="3"/>
      <c r="L47" s="3"/>
      <c r="M47" s="3"/>
      <c r="N47" s="3"/>
      <c r="O47" s="3"/>
    </row>
    <row r="48" spans="1:15" x14ac:dyDescent="0.35">
      <c r="A48" s="3"/>
      <c r="B48" s="3"/>
      <c r="C48" s="3"/>
      <c r="D48" s="3"/>
      <c r="E48" s="3"/>
      <c r="F48" s="3"/>
      <c r="G48" s="4" t="s">
        <v>53</v>
      </c>
      <c r="H48" s="3">
        <v>129</v>
      </c>
      <c r="I48" s="3"/>
      <c r="J48" s="3"/>
      <c r="K48" s="3"/>
      <c r="L48" s="3"/>
      <c r="M48" s="3"/>
      <c r="N48" s="3"/>
      <c r="O48" s="3"/>
    </row>
    <row r="49" spans="1:15" x14ac:dyDescent="0.35">
      <c r="A49" s="3"/>
      <c r="B49" s="3"/>
      <c r="C49" s="3"/>
      <c r="D49" s="3"/>
      <c r="E49" s="3"/>
      <c r="F49" s="3"/>
      <c r="G49" s="4" t="s">
        <v>367</v>
      </c>
      <c r="H49" s="3">
        <v>201</v>
      </c>
      <c r="I49" s="3"/>
      <c r="J49" s="3"/>
      <c r="K49" s="3"/>
      <c r="L49" s="3"/>
      <c r="M49" s="3"/>
      <c r="N49" s="3"/>
      <c r="O49" s="3"/>
    </row>
    <row r="50" spans="1:15" x14ac:dyDescent="0.35">
      <c r="A50" s="3"/>
      <c r="B50" s="3"/>
      <c r="C50" s="3"/>
      <c r="D50" s="3"/>
      <c r="E50" s="3"/>
      <c r="F50" s="3"/>
      <c r="G50" s="3"/>
      <c r="H50" s="3"/>
      <c r="I50" s="3"/>
      <c r="J50" s="3"/>
      <c r="K50" s="3"/>
      <c r="L50" s="3"/>
      <c r="M50" s="3"/>
      <c r="N50" s="3"/>
      <c r="O50" s="3"/>
    </row>
    <row r="51" spans="1:15" x14ac:dyDescent="0.35">
      <c r="A51" s="3"/>
      <c r="B51" s="3"/>
      <c r="C51" s="3"/>
      <c r="D51" s="3"/>
      <c r="E51" s="3"/>
      <c r="F51" s="3"/>
      <c r="G51" s="3"/>
      <c r="H51" s="3"/>
      <c r="I51" s="3"/>
      <c r="J51" s="3"/>
      <c r="K51" s="3"/>
      <c r="L51" s="3"/>
      <c r="M51" s="3"/>
      <c r="N51" s="3"/>
      <c r="O51" s="3"/>
    </row>
    <row r="52" spans="1:15" x14ac:dyDescent="0.35">
      <c r="A52" s="3"/>
      <c r="B52" s="3"/>
      <c r="C52" s="3"/>
      <c r="D52" s="3"/>
      <c r="E52" s="3"/>
      <c r="F52" s="3"/>
      <c r="G52" s="3"/>
      <c r="H52" s="3"/>
      <c r="I52" s="3"/>
      <c r="J52" s="3"/>
      <c r="K52" s="3"/>
      <c r="L52" s="3"/>
      <c r="M52" s="3"/>
      <c r="N52" s="3"/>
      <c r="O52" s="3"/>
    </row>
    <row r="53" spans="1:15" x14ac:dyDescent="0.35">
      <c r="A53" s="3"/>
      <c r="B53" s="3"/>
      <c r="C53" s="3"/>
      <c r="D53" s="3"/>
      <c r="E53" s="3"/>
      <c r="F53" s="3"/>
      <c r="G53" s="3"/>
      <c r="H53" s="3"/>
      <c r="I53" s="3"/>
      <c r="J53" s="3"/>
      <c r="K53" s="3"/>
      <c r="L53" s="3"/>
      <c r="M53" s="3"/>
      <c r="N53" s="3"/>
      <c r="O53" s="3"/>
    </row>
    <row r="54" spans="1:15" x14ac:dyDescent="0.35">
      <c r="A54" s="3" t="s">
        <v>366</v>
      </c>
      <c r="B54" s="3" t="s">
        <v>368</v>
      </c>
      <c r="C54" s="3"/>
      <c r="D54" s="3"/>
      <c r="E54" s="3"/>
      <c r="F54" s="3"/>
      <c r="G54" s="3" t="s">
        <v>375</v>
      </c>
      <c r="H54" s="3" t="s">
        <v>381</v>
      </c>
      <c r="I54" s="3"/>
      <c r="J54" s="3"/>
      <c r="K54" s="3"/>
      <c r="L54" s="3"/>
      <c r="M54" s="3"/>
      <c r="N54" s="3"/>
      <c r="O54" s="3"/>
    </row>
    <row r="55" spans="1:15" x14ac:dyDescent="0.35">
      <c r="A55" s="4" t="s">
        <v>49</v>
      </c>
      <c r="B55" s="3">
        <v>104</v>
      </c>
      <c r="C55" s="3"/>
      <c r="D55" s="3"/>
      <c r="E55" s="3"/>
      <c r="F55" s="3"/>
      <c r="G55" s="3" t="s">
        <v>384</v>
      </c>
      <c r="H55" s="3" t="s">
        <v>49</v>
      </c>
      <c r="I55" s="3" t="s">
        <v>88</v>
      </c>
      <c r="J55" s="3" t="s">
        <v>57</v>
      </c>
      <c r="K55" s="3" t="s">
        <v>367</v>
      </c>
      <c r="L55" s="3"/>
      <c r="M55" s="3"/>
      <c r="N55" s="3"/>
      <c r="O55" s="3"/>
    </row>
    <row r="56" spans="1:15" x14ac:dyDescent="0.35">
      <c r="A56" s="4" t="s">
        <v>57</v>
      </c>
      <c r="B56" s="3">
        <v>97</v>
      </c>
      <c r="C56" s="3"/>
      <c r="D56" s="3"/>
      <c r="E56" s="3"/>
      <c r="F56" s="3"/>
      <c r="G56" s="4" t="s">
        <v>49</v>
      </c>
      <c r="H56" s="3">
        <v>15</v>
      </c>
      <c r="I56" s="3">
        <v>34</v>
      </c>
      <c r="J56" s="3">
        <v>81</v>
      </c>
      <c r="K56" s="3">
        <v>130</v>
      </c>
      <c r="L56" s="3"/>
      <c r="M56" s="3"/>
      <c r="N56" s="3"/>
      <c r="O56" s="3"/>
    </row>
    <row r="57" spans="1:15" x14ac:dyDescent="0.35">
      <c r="A57" s="4" t="s">
        <v>367</v>
      </c>
      <c r="B57" s="3">
        <v>201</v>
      </c>
      <c r="C57" s="3"/>
      <c r="D57" s="3"/>
      <c r="E57" s="3"/>
      <c r="F57" s="3"/>
      <c r="G57" s="4" t="s">
        <v>361</v>
      </c>
      <c r="H57" s="3"/>
      <c r="I57" s="3"/>
      <c r="J57" s="3">
        <v>2</v>
      </c>
      <c r="K57" s="3">
        <v>2</v>
      </c>
      <c r="L57" s="3"/>
      <c r="M57" s="3"/>
      <c r="N57" s="3"/>
      <c r="O57" s="3"/>
    </row>
    <row r="58" spans="1:15" x14ac:dyDescent="0.35">
      <c r="A58" s="3"/>
      <c r="B58" s="3"/>
      <c r="C58" s="3"/>
      <c r="D58" s="3"/>
      <c r="E58" s="3"/>
      <c r="F58" s="3"/>
      <c r="G58" s="4" t="s">
        <v>57</v>
      </c>
      <c r="H58" s="3">
        <v>7</v>
      </c>
      <c r="I58" s="3">
        <v>5</v>
      </c>
      <c r="J58" s="3">
        <v>57</v>
      </c>
      <c r="K58" s="3">
        <v>69</v>
      </c>
      <c r="L58" s="3"/>
      <c r="M58" s="3"/>
      <c r="N58" s="3"/>
      <c r="O58" s="3"/>
    </row>
    <row r="59" spans="1:15" x14ac:dyDescent="0.35">
      <c r="A59" s="3"/>
      <c r="B59" s="3"/>
      <c r="C59" s="3"/>
      <c r="D59" s="3"/>
      <c r="E59" s="3"/>
      <c r="F59" s="3"/>
      <c r="G59" s="4" t="s">
        <v>367</v>
      </c>
      <c r="H59" s="3">
        <v>22</v>
      </c>
      <c r="I59" s="3">
        <v>39</v>
      </c>
      <c r="J59" s="3">
        <v>140</v>
      </c>
      <c r="K59" s="3">
        <v>201</v>
      </c>
      <c r="L59" s="3"/>
      <c r="M59" s="3"/>
      <c r="N59" s="3"/>
      <c r="O59" s="3"/>
    </row>
    <row r="60" spans="1:15" x14ac:dyDescent="0.35">
      <c r="A60" s="3" t="s">
        <v>366</v>
      </c>
      <c r="B60" s="3" t="s">
        <v>386</v>
      </c>
      <c r="C60" s="3"/>
      <c r="D60" s="3"/>
      <c r="E60" s="3"/>
      <c r="F60" s="3"/>
      <c r="G60" s="3"/>
      <c r="H60" s="3"/>
      <c r="I60" s="3"/>
      <c r="J60" s="3"/>
      <c r="K60" s="3"/>
      <c r="L60" s="3"/>
      <c r="M60" s="3"/>
      <c r="N60" s="3"/>
      <c r="O60" s="3"/>
    </row>
    <row r="61" spans="1:15" x14ac:dyDescent="0.35">
      <c r="A61" s="4" t="s">
        <v>49</v>
      </c>
      <c r="B61" s="3">
        <v>130</v>
      </c>
      <c r="C61" s="3"/>
      <c r="D61" s="3"/>
      <c r="E61" s="3"/>
      <c r="F61" s="3"/>
      <c r="G61" s="3"/>
      <c r="H61" s="3"/>
      <c r="I61" s="3"/>
      <c r="J61" s="3"/>
      <c r="K61" s="3"/>
      <c r="L61" s="3"/>
      <c r="M61" s="3"/>
      <c r="N61" s="3"/>
      <c r="O61" s="3"/>
    </row>
    <row r="62" spans="1:15" x14ac:dyDescent="0.35">
      <c r="A62" s="4" t="s">
        <v>361</v>
      </c>
      <c r="B62" s="3">
        <v>2</v>
      </c>
      <c r="C62" s="3"/>
      <c r="D62" s="3"/>
      <c r="E62" s="3"/>
      <c r="F62" s="3"/>
      <c r="G62" s="3"/>
      <c r="H62" s="3"/>
      <c r="I62" s="3"/>
      <c r="J62" s="3"/>
      <c r="K62" s="3"/>
      <c r="L62" s="3"/>
      <c r="M62" s="3"/>
      <c r="N62" s="3"/>
      <c r="O62" s="3"/>
    </row>
    <row r="63" spans="1:15" x14ac:dyDescent="0.35">
      <c r="A63" s="4" t="s">
        <v>57</v>
      </c>
      <c r="B63" s="3">
        <v>69</v>
      </c>
      <c r="C63" s="3"/>
      <c r="D63" s="3"/>
      <c r="E63" s="3"/>
      <c r="F63" s="3"/>
      <c r="G63" s="3"/>
      <c r="H63" s="3"/>
      <c r="I63" s="3"/>
      <c r="J63" s="3"/>
      <c r="K63" s="3"/>
      <c r="L63" s="3"/>
      <c r="M63" s="3"/>
      <c r="N63" s="3"/>
      <c r="O63" s="3"/>
    </row>
    <row r="64" spans="1:15" x14ac:dyDescent="0.35">
      <c r="A64" s="4" t="s">
        <v>367</v>
      </c>
      <c r="B64" s="3">
        <v>201</v>
      </c>
      <c r="C64" s="3"/>
      <c r="D64" s="3"/>
      <c r="E64" s="3"/>
      <c r="F64" s="3"/>
      <c r="G64" s="3"/>
      <c r="H64" s="3"/>
      <c r="I64" s="3"/>
      <c r="J64" s="3"/>
      <c r="K64" s="3"/>
      <c r="L64" s="3"/>
      <c r="M64" s="3"/>
      <c r="N64" s="3"/>
      <c r="O64" s="3"/>
    </row>
    <row r="68" spans="5:6" x14ac:dyDescent="0.35">
      <c r="E68" s="9" t="s">
        <v>366</v>
      </c>
      <c r="F68" t="s">
        <v>368</v>
      </c>
    </row>
    <row r="69" spans="5:6" x14ac:dyDescent="0.35">
      <c r="E69" s="10" t="s">
        <v>49</v>
      </c>
      <c r="F69">
        <v>104</v>
      </c>
    </row>
    <row r="70" spans="5:6" x14ac:dyDescent="0.35">
      <c r="E70" s="10" t="s">
        <v>57</v>
      </c>
      <c r="F70">
        <v>97</v>
      </c>
    </row>
    <row r="71" spans="5:6" x14ac:dyDescent="0.35">
      <c r="E71" s="10" t="s">
        <v>367</v>
      </c>
      <c r="F71">
        <v>201</v>
      </c>
    </row>
  </sheetData>
  <mergeCells count="1">
    <mergeCell ref="A1:O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D44B-A3E1-48BB-AFA0-6FBD17F1165C}">
  <dimension ref="A1:X39"/>
  <sheetViews>
    <sheetView topLeftCell="A17" zoomScale="80" zoomScaleNormal="80" workbookViewId="0">
      <selection activeCell="X6" sqref="X6"/>
    </sheetView>
  </sheetViews>
  <sheetFormatPr defaultRowHeight="14.5" x14ac:dyDescent="0.35"/>
  <sheetData>
    <row r="1" spans="1:24" x14ac:dyDescent="0.35">
      <c r="A1" s="8"/>
      <c r="B1" s="8"/>
      <c r="C1" s="8"/>
      <c r="D1" s="8"/>
      <c r="E1" s="8"/>
      <c r="F1" s="8"/>
      <c r="G1" s="8"/>
      <c r="H1" s="8"/>
      <c r="I1" s="8"/>
      <c r="J1" s="8"/>
      <c r="K1" s="8"/>
      <c r="L1" s="8"/>
      <c r="M1" s="8"/>
      <c r="N1" s="8"/>
      <c r="O1" s="8"/>
      <c r="P1" s="8"/>
      <c r="Q1" s="8"/>
      <c r="R1" s="8"/>
      <c r="S1" s="8"/>
      <c r="T1" s="8"/>
      <c r="U1" s="8"/>
      <c r="V1" s="8"/>
      <c r="W1" s="8"/>
      <c r="X1" s="8"/>
    </row>
    <row r="2" spans="1:24" x14ac:dyDescent="0.35">
      <c r="A2" s="8"/>
      <c r="B2" s="8"/>
      <c r="C2" s="8"/>
      <c r="D2" s="8"/>
      <c r="E2" s="8"/>
      <c r="F2" s="8"/>
      <c r="G2" s="8"/>
      <c r="H2" s="8"/>
      <c r="I2" s="8"/>
      <c r="J2" s="8"/>
      <c r="K2" s="8"/>
      <c r="L2" s="8"/>
      <c r="M2" s="8"/>
      <c r="N2" s="8"/>
      <c r="O2" s="8"/>
      <c r="P2" s="8"/>
      <c r="Q2" s="8"/>
      <c r="R2" s="8"/>
      <c r="S2" s="8"/>
      <c r="T2" s="8"/>
      <c r="U2" s="8"/>
      <c r="V2" s="8"/>
      <c r="W2" s="8"/>
      <c r="X2" s="8"/>
    </row>
    <row r="3" spans="1:24" x14ac:dyDescent="0.35">
      <c r="A3" s="8"/>
      <c r="B3" s="8"/>
      <c r="C3" s="8"/>
      <c r="D3" s="8"/>
      <c r="E3" s="8"/>
      <c r="F3" s="8"/>
      <c r="G3" s="8"/>
      <c r="H3" s="8"/>
      <c r="I3" s="8"/>
      <c r="J3" s="8"/>
      <c r="K3" s="8"/>
      <c r="L3" s="8"/>
      <c r="M3" s="8"/>
      <c r="N3" s="8"/>
      <c r="O3" s="8"/>
      <c r="P3" s="8"/>
      <c r="Q3" s="8"/>
      <c r="R3" s="8"/>
      <c r="S3" s="8"/>
      <c r="T3" s="8"/>
      <c r="U3" s="8"/>
      <c r="V3" s="8"/>
      <c r="W3" s="8"/>
      <c r="X3" s="8"/>
    </row>
    <row r="4" spans="1:24" x14ac:dyDescent="0.35">
      <c r="A4" s="8"/>
      <c r="B4" s="8"/>
      <c r="C4" s="8"/>
      <c r="D4" s="8"/>
      <c r="E4" s="8"/>
      <c r="F4" s="8"/>
      <c r="G4" s="8"/>
      <c r="H4" s="8"/>
      <c r="I4" s="8"/>
      <c r="J4" s="8"/>
      <c r="K4" s="8"/>
      <c r="L4" s="8"/>
      <c r="M4" s="8"/>
      <c r="N4" s="8"/>
      <c r="O4" s="8"/>
      <c r="P4" s="8"/>
      <c r="Q4" s="8"/>
      <c r="R4" s="8"/>
      <c r="S4" s="8"/>
      <c r="T4" s="8"/>
      <c r="U4" s="8"/>
      <c r="V4" s="8"/>
      <c r="W4" s="8"/>
      <c r="X4" s="8"/>
    </row>
    <row r="5" spans="1:24" x14ac:dyDescent="0.35">
      <c r="A5" s="8"/>
      <c r="B5" s="8"/>
      <c r="C5" s="8"/>
      <c r="D5" s="8"/>
      <c r="E5" s="8"/>
      <c r="F5" s="8"/>
      <c r="G5" s="8"/>
      <c r="H5" s="8"/>
      <c r="I5" s="8"/>
      <c r="J5" s="8"/>
      <c r="K5" s="8"/>
      <c r="L5" s="8"/>
      <c r="M5" s="8"/>
      <c r="N5" s="8"/>
      <c r="O5" s="8"/>
      <c r="P5" s="8"/>
      <c r="Q5" s="8"/>
      <c r="R5" s="8"/>
      <c r="S5" s="8"/>
      <c r="T5" s="8"/>
      <c r="U5" s="8"/>
      <c r="V5" s="8"/>
      <c r="W5" s="8"/>
      <c r="X5" s="8"/>
    </row>
    <row r="6" spans="1:24" x14ac:dyDescent="0.35">
      <c r="A6" s="8"/>
      <c r="B6" s="8"/>
      <c r="C6" s="8"/>
      <c r="D6" s="8"/>
      <c r="E6" s="8"/>
      <c r="F6" s="8"/>
      <c r="G6" s="8"/>
      <c r="H6" s="8"/>
      <c r="I6" s="8"/>
      <c r="J6" s="8"/>
      <c r="K6" s="8"/>
      <c r="L6" s="8"/>
      <c r="M6" s="8"/>
      <c r="N6" s="8"/>
      <c r="O6" s="8"/>
      <c r="P6" s="8"/>
      <c r="Q6" s="8"/>
      <c r="R6" s="8"/>
      <c r="S6" s="8"/>
      <c r="T6" s="8"/>
      <c r="U6" s="8"/>
      <c r="V6" s="8"/>
      <c r="W6" s="8"/>
      <c r="X6" s="8"/>
    </row>
    <row r="7" spans="1:24" x14ac:dyDescent="0.35">
      <c r="A7" s="8"/>
      <c r="B7" s="8"/>
      <c r="C7" s="8"/>
      <c r="D7" s="8"/>
      <c r="E7" s="8"/>
      <c r="F7" s="8"/>
      <c r="G7" s="8"/>
      <c r="H7" s="8"/>
      <c r="I7" s="8"/>
      <c r="J7" s="8"/>
      <c r="K7" s="8"/>
      <c r="L7" s="8"/>
      <c r="M7" s="8"/>
      <c r="N7" s="8"/>
      <c r="O7" s="8"/>
      <c r="P7" s="8"/>
      <c r="Q7" s="8"/>
      <c r="R7" s="8"/>
      <c r="S7" s="8"/>
      <c r="T7" s="8"/>
      <c r="U7" s="8"/>
      <c r="V7" s="8"/>
      <c r="W7" s="8"/>
      <c r="X7" s="8" t="s">
        <v>377</v>
      </c>
    </row>
    <row r="8" spans="1:24" x14ac:dyDescent="0.35">
      <c r="A8" s="8"/>
      <c r="B8" s="8"/>
      <c r="C8" s="8"/>
      <c r="D8" s="8"/>
      <c r="E8" s="8"/>
      <c r="F8" s="8"/>
      <c r="G8" s="8"/>
      <c r="H8" s="8"/>
      <c r="I8" s="8"/>
      <c r="J8" s="8"/>
      <c r="K8" s="8"/>
      <c r="L8" s="8"/>
      <c r="M8" s="8"/>
      <c r="N8" s="8"/>
      <c r="O8" s="8"/>
      <c r="P8" s="8"/>
      <c r="Q8" s="8"/>
      <c r="R8" s="8"/>
      <c r="S8" s="8"/>
      <c r="T8" s="8"/>
      <c r="U8" s="8"/>
      <c r="V8" s="8"/>
      <c r="W8" s="8"/>
      <c r="X8" s="8"/>
    </row>
    <row r="9" spans="1:24" x14ac:dyDescent="0.35">
      <c r="A9" s="8"/>
      <c r="B9" s="8"/>
      <c r="C9" s="8"/>
      <c r="D9" s="8"/>
      <c r="E9" s="8"/>
      <c r="F9" s="8"/>
      <c r="G9" s="8"/>
      <c r="H9" s="8"/>
      <c r="I9" s="8"/>
      <c r="J9" s="8"/>
      <c r="K9" s="8"/>
      <c r="L9" s="8"/>
      <c r="M9" s="8"/>
      <c r="N9" s="8"/>
      <c r="O9" s="8"/>
      <c r="P9" s="8"/>
      <c r="Q9" s="8"/>
      <c r="R9" s="8"/>
      <c r="S9" s="8"/>
      <c r="T9" s="8"/>
      <c r="U9" s="8"/>
      <c r="V9" s="8"/>
      <c r="W9" s="8"/>
      <c r="X9" s="8"/>
    </row>
    <row r="10" spans="1:24" x14ac:dyDescent="0.35">
      <c r="A10" s="8"/>
      <c r="B10" s="8"/>
      <c r="C10" s="8"/>
      <c r="D10" s="8"/>
      <c r="E10" s="8"/>
      <c r="F10" s="8"/>
      <c r="G10" s="8"/>
      <c r="H10" s="8"/>
      <c r="I10" s="8"/>
      <c r="J10" s="8"/>
      <c r="K10" s="8"/>
      <c r="L10" s="8"/>
      <c r="M10" s="8"/>
      <c r="N10" s="8"/>
      <c r="O10" s="8"/>
      <c r="P10" s="8"/>
      <c r="Q10" s="8"/>
      <c r="R10" s="8"/>
      <c r="S10" s="8"/>
      <c r="T10" s="8"/>
      <c r="U10" s="8"/>
      <c r="V10" s="8"/>
      <c r="W10" s="8"/>
      <c r="X10" s="8" t="s">
        <v>365</v>
      </c>
    </row>
    <row r="11" spans="1:24" x14ac:dyDescent="0.35">
      <c r="A11" s="8"/>
      <c r="B11" s="8"/>
      <c r="C11" s="8"/>
      <c r="D11" s="8"/>
      <c r="E11" s="8"/>
      <c r="F11" s="8"/>
      <c r="G11" s="8"/>
      <c r="H11" s="8"/>
      <c r="I11" s="8"/>
      <c r="J11" s="8"/>
      <c r="K11" s="8"/>
      <c r="L11" s="8"/>
      <c r="M11" s="8"/>
      <c r="N11" s="8"/>
      <c r="O11" s="8"/>
      <c r="P11" s="8"/>
      <c r="Q11" s="8"/>
      <c r="R11" s="8"/>
      <c r="S11" s="8"/>
      <c r="T11" s="8"/>
      <c r="U11" s="8"/>
      <c r="V11" s="8"/>
      <c r="W11" s="8"/>
      <c r="X11" s="8" t="s">
        <v>365</v>
      </c>
    </row>
    <row r="12" spans="1:24" x14ac:dyDescent="0.35">
      <c r="A12" s="8"/>
      <c r="B12" s="8"/>
      <c r="C12" s="8"/>
      <c r="D12" s="8"/>
      <c r="E12" s="8"/>
      <c r="F12" s="8"/>
      <c r="G12" s="8"/>
      <c r="H12" s="8"/>
      <c r="I12" s="8"/>
      <c r="J12" s="8"/>
      <c r="K12" s="8"/>
      <c r="L12" s="8"/>
      <c r="M12" s="8"/>
      <c r="N12" s="8"/>
      <c r="O12" s="8"/>
      <c r="P12" s="8"/>
      <c r="Q12" s="8"/>
      <c r="R12" s="8"/>
      <c r="S12" s="8"/>
      <c r="T12" s="8"/>
      <c r="U12" s="8"/>
      <c r="V12" s="8"/>
      <c r="W12" s="8"/>
      <c r="X12" s="8"/>
    </row>
    <row r="13" spans="1:24" x14ac:dyDescent="0.35">
      <c r="A13" s="8"/>
      <c r="B13" s="8"/>
      <c r="C13" s="8"/>
      <c r="D13" s="8"/>
      <c r="E13" s="8"/>
      <c r="F13" s="8"/>
      <c r="G13" s="8"/>
      <c r="H13" s="8"/>
      <c r="I13" s="8"/>
      <c r="J13" s="8"/>
      <c r="K13" s="8"/>
      <c r="L13" s="8"/>
      <c r="M13" s="8"/>
      <c r="N13" s="8"/>
      <c r="O13" s="8"/>
      <c r="P13" s="8"/>
      <c r="Q13" s="8"/>
      <c r="R13" s="8"/>
      <c r="S13" s="8"/>
      <c r="T13" s="8"/>
      <c r="U13" s="8"/>
      <c r="V13" s="8"/>
      <c r="W13" s="8"/>
      <c r="X13" s="8" t="s">
        <v>365</v>
      </c>
    </row>
    <row r="14" spans="1:24" x14ac:dyDescent="0.35">
      <c r="A14" s="8"/>
      <c r="B14" s="8"/>
      <c r="C14" s="8"/>
      <c r="D14" s="8"/>
      <c r="E14" s="8"/>
      <c r="F14" s="8"/>
      <c r="G14" s="8"/>
      <c r="H14" s="8"/>
      <c r="I14" s="8"/>
      <c r="J14" s="8"/>
      <c r="K14" s="8"/>
      <c r="L14" s="8"/>
      <c r="M14" s="8"/>
      <c r="N14" s="8"/>
      <c r="O14" s="8"/>
      <c r="P14" s="8"/>
      <c r="Q14" s="8"/>
      <c r="R14" s="8"/>
      <c r="S14" s="8"/>
      <c r="T14" s="8"/>
      <c r="U14" s="8"/>
      <c r="V14" s="8"/>
      <c r="W14" s="8"/>
      <c r="X14" s="8"/>
    </row>
    <row r="15" spans="1:24" x14ac:dyDescent="0.35">
      <c r="A15" s="8"/>
      <c r="B15" s="8"/>
      <c r="C15" s="8"/>
      <c r="D15" s="8"/>
      <c r="E15" s="8"/>
      <c r="F15" s="8"/>
      <c r="G15" s="8"/>
      <c r="H15" s="8"/>
      <c r="I15" s="8"/>
      <c r="J15" s="8"/>
      <c r="K15" s="8"/>
      <c r="L15" s="8"/>
      <c r="M15" s="8"/>
      <c r="N15" s="8"/>
      <c r="O15" s="8"/>
      <c r="P15" s="8"/>
      <c r="Q15" s="8"/>
      <c r="R15" s="8"/>
      <c r="S15" s="8"/>
      <c r="T15" s="8"/>
      <c r="U15" s="8"/>
      <c r="V15" s="8"/>
      <c r="W15" s="8"/>
      <c r="X15" s="8"/>
    </row>
    <row r="16" spans="1:24" x14ac:dyDescent="0.35">
      <c r="A16" s="8"/>
      <c r="B16" s="8"/>
      <c r="C16" s="8"/>
      <c r="D16" s="8"/>
      <c r="E16" s="8"/>
      <c r="F16" s="8"/>
      <c r="G16" s="8"/>
      <c r="H16" s="8"/>
      <c r="I16" s="8"/>
      <c r="J16" s="8"/>
      <c r="K16" s="8"/>
      <c r="L16" s="8"/>
      <c r="M16" s="8"/>
      <c r="N16" s="8"/>
      <c r="O16" s="8"/>
      <c r="P16" s="8"/>
      <c r="Q16" s="8"/>
      <c r="R16" s="8"/>
      <c r="S16" s="8"/>
      <c r="T16" s="8"/>
      <c r="U16" s="8"/>
      <c r="V16" s="8"/>
      <c r="W16" s="8"/>
      <c r="X16" s="8"/>
    </row>
    <row r="17" spans="1:24" x14ac:dyDescent="0.35">
      <c r="A17" s="8"/>
      <c r="B17" s="8"/>
      <c r="C17" s="8"/>
      <c r="D17" s="8"/>
      <c r="E17" s="8"/>
      <c r="F17" s="8"/>
      <c r="G17" s="8"/>
      <c r="H17" s="8"/>
      <c r="I17" s="8"/>
      <c r="J17" s="8"/>
      <c r="K17" s="8"/>
      <c r="L17" s="8"/>
      <c r="M17" s="8"/>
      <c r="N17" s="8"/>
      <c r="O17" s="8"/>
      <c r="P17" s="8"/>
      <c r="Q17" s="8"/>
      <c r="R17" s="8"/>
      <c r="S17" s="8"/>
      <c r="T17" s="8"/>
      <c r="U17" s="8"/>
      <c r="V17" s="8"/>
      <c r="W17" s="8"/>
      <c r="X17" s="8"/>
    </row>
    <row r="18" spans="1:24" x14ac:dyDescent="0.35">
      <c r="A18" s="8"/>
      <c r="B18" s="8"/>
      <c r="C18" s="8"/>
      <c r="D18" s="8"/>
      <c r="E18" s="8"/>
      <c r="F18" s="8"/>
      <c r="G18" s="8"/>
      <c r="H18" s="8"/>
      <c r="I18" s="8"/>
      <c r="J18" s="8"/>
      <c r="K18" s="8"/>
      <c r="L18" s="8"/>
      <c r="M18" s="8"/>
      <c r="N18" s="8"/>
      <c r="O18" s="8"/>
      <c r="P18" s="8"/>
      <c r="Q18" s="8"/>
      <c r="R18" s="8"/>
      <c r="S18" s="8"/>
      <c r="T18" s="8"/>
      <c r="U18" s="8"/>
      <c r="V18" s="8"/>
      <c r="W18" s="8"/>
      <c r="X18" s="8"/>
    </row>
    <row r="19" spans="1:24" x14ac:dyDescent="0.35">
      <c r="A19" s="8"/>
      <c r="B19" s="8"/>
      <c r="C19" s="8"/>
      <c r="D19" s="8"/>
      <c r="E19" s="8"/>
      <c r="F19" s="8"/>
      <c r="G19" s="8"/>
      <c r="H19" s="8"/>
      <c r="I19" s="8"/>
      <c r="J19" s="8"/>
      <c r="K19" s="8"/>
      <c r="L19" s="8"/>
      <c r="M19" s="8"/>
      <c r="N19" s="8"/>
      <c r="O19" s="8"/>
      <c r="P19" s="8"/>
      <c r="Q19" s="8"/>
      <c r="R19" s="8"/>
      <c r="S19" s="8"/>
      <c r="T19" s="8"/>
      <c r="U19" s="8"/>
      <c r="V19" s="8"/>
      <c r="W19" s="8"/>
      <c r="X19" s="8"/>
    </row>
    <row r="20" spans="1:24" x14ac:dyDescent="0.35">
      <c r="A20" s="8"/>
      <c r="B20" s="8"/>
      <c r="C20" s="8"/>
      <c r="D20" s="8"/>
      <c r="E20" s="8"/>
      <c r="F20" s="8"/>
      <c r="G20" s="8"/>
      <c r="H20" s="8"/>
      <c r="I20" s="8"/>
      <c r="J20" s="8"/>
      <c r="K20" s="8"/>
      <c r="L20" s="8"/>
      <c r="M20" s="8"/>
      <c r="N20" s="8"/>
      <c r="O20" s="8"/>
      <c r="P20" s="8"/>
      <c r="Q20" s="8"/>
      <c r="R20" s="8"/>
      <c r="S20" s="8"/>
      <c r="T20" s="8"/>
      <c r="U20" s="8"/>
      <c r="V20" s="8"/>
      <c r="W20" s="8"/>
      <c r="X20" s="8"/>
    </row>
    <row r="21" spans="1:24" x14ac:dyDescent="0.35">
      <c r="A21" s="8"/>
      <c r="B21" s="8"/>
      <c r="C21" s="8"/>
      <c r="D21" s="8"/>
      <c r="E21" s="8"/>
      <c r="F21" s="8"/>
      <c r="G21" s="8"/>
      <c r="H21" s="8"/>
      <c r="I21" s="8"/>
      <c r="J21" s="8"/>
      <c r="K21" s="8"/>
      <c r="L21" s="8"/>
      <c r="M21" s="8"/>
      <c r="N21" s="8"/>
      <c r="O21" s="8"/>
      <c r="P21" s="8"/>
      <c r="Q21" s="8"/>
      <c r="R21" s="8"/>
      <c r="S21" s="8"/>
      <c r="T21" s="8"/>
      <c r="U21" s="8"/>
      <c r="V21" s="8"/>
      <c r="W21" s="8"/>
      <c r="X21" s="8"/>
    </row>
    <row r="22" spans="1:24" x14ac:dyDescent="0.35">
      <c r="A22" s="8"/>
      <c r="B22" s="8"/>
      <c r="C22" s="8"/>
      <c r="D22" s="8"/>
      <c r="E22" s="8"/>
      <c r="F22" s="8"/>
      <c r="G22" s="8"/>
      <c r="H22" s="8"/>
      <c r="I22" s="8"/>
      <c r="J22" s="8"/>
      <c r="K22" s="8"/>
      <c r="L22" s="8"/>
      <c r="M22" s="8"/>
      <c r="N22" s="8"/>
      <c r="O22" s="8"/>
      <c r="P22" s="8"/>
      <c r="Q22" s="8"/>
      <c r="R22" s="8"/>
      <c r="S22" s="8"/>
      <c r="T22" s="8"/>
      <c r="U22" s="8"/>
      <c r="V22" s="8"/>
      <c r="W22" s="8"/>
      <c r="X22" s="8" t="s">
        <v>377</v>
      </c>
    </row>
    <row r="23" spans="1:24" x14ac:dyDescent="0.35">
      <c r="A23" s="8"/>
      <c r="B23" s="8"/>
      <c r="C23" s="8"/>
      <c r="D23" s="8"/>
      <c r="E23" s="8"/>
      <c r="F23" s="8"/>
      <c r="G23" s="8"/>
      <c r="H23" s="8"/>
      <c r="I23" s="8"/>
      <c r="J23" s="8"/>
      <c r="K23" s="8"/>
      <c r="L23" s="8"/>
      <c r="M23" s="8"/>
      <c r="N23" s="8"/>
      <c r="O23" s="8"/>
      <c r="P23" s="8"/>
      <c r="Q23" s="8"/>
      <c r="R23" s="8"/>
      <c r="S23" s="8"/>
      <c r="T23" s="8"/>
      <c r="U23" s="8"/>
      <c r="V23" s="8"/>
      <c r="W23" s="8"/>
      <c r="X23" s="8"/>
    </row>
    <row r="24" spans="1:24" x14ac:dyDescent="0.35">
      <c r="A24" s="8"/>
      <c r="B24" s="8"/>
      <c r="C24" s="8"/>
      <c r="D24" s="8"/>
      <c r="E24" s="8"/>
      <c r="F24" s="8"/>
      <c r="G24" s="8"/>
      <c r="H24" s="8"/>
      <c r="I24" s="8"/>
      <c r="J24" s="8"/>
      <c r="K24" s="8"/>
      <c r="L24" s="8"/>
      <c r="M24" s="8"/>
      <c r="N24" s="8"/>
      <c r="O24" s="8"/>
      <c r="P24" s="8"/>
      <c r="Q24" s="8"/>
      <c r="R24" s="8"/>
      <c r="S24" s="8"/>
      <c r="T24" s="8"/>
      <c r="U24" s="8"/>
      <c r="V24" s="8"/>
      <c r="W24" s="8"/>
      <c r="X24" s="8"/>
    </row>
    <row r="25" spans="1:24" x14ac:dyDescent="0.35">
      <c r="A25" s="8"/>
      <c r="B25" s="8"/>
      <c r="C25" s="8"/>
      <c r="D25" s="8"/>
      <c r="E25" s="8"/>
      <c r="F25" s="8"/>
      <c r="G25" s="8"/>
      <c r="H25" s="8"/>
      <c r="I25" s="8"/>
      <c r="J25" s="8"/>
      <c r="K25" s="8"/>
      <c r="L25" s="8"/>
      <c r="M25" s="8"/>
      <c r="N25" s="8"/>
      <c r="O25" s="8"/>
      <c r="P25" s="8"/>
      <c r="Q25" s="8"/>
      <c r="R25" s="8"/>
      <c r="S25" s="8"/>
      <c r="T25" s="8"/>
      <c r="U25" s="8"/>
      <c r="V25" s="8"/>
      <c r="W25" s="8"/>
      <c r="X25" s="8"/>
    </row>
    <row r="26" spans="1:24" x14ac:dyDescent="0.35">
      <c r="A26" s="8"/>
      <c r="B26" s="8"/>
      <c r="C26" s="8"/>
      <c r="D26" s="8"/>
      <c r="E26" s="8"/>
      <c r="F26" s="8"/>
      <c r="G26" s="8"/>
      <c r="H26" s="8"/>
      <c r="I26" s="8"/>
      <c r="J26" s="8"/>
      <c r="K26" s="8"/>
      <c r="L26" s="8"/>
      <c r="M26" s="8"/>
      <c r="N26" s="8"/>
      <c r="O26" s="8"/>
      <c r="P26" s="8"/>
      <c r="Q26" s="8"/>
      <c r="R26" s="8"/>
      <c r="S26" s="8"/>
      <c r="T26" s="8"/>
      <c r="U26" s="8"/>
      <c r="V26" s="8"/>
      <c r="W26" s="8"/>
      <c r="X26" s="8"/>
    </row>
    <row r="27" spans="1:24" x14ac:dyDescent="0.35">
      <c r="A27" s="8"/>
      <c r="B27" s="8"/>
      <c r="C27" s="8"/>
      <c r="D27" s="8"/>
      <c r="E27" s="8"/>
      <c r="F27" s="8"/>
      <c r="G27" s="8"/>
      <c r="H27" s="8"/>
      <c r="I27" s="8"/>
      <c r="J27" s="8"/>
      <c r="K27" s="8"/>
      <c r="L27" s="8"/>
      <c r="M27" s="8"/>
      <c r="N27" s="8"/>
      <c r="O27" s="8"/>
      <c r="P27" s="8"/>
      <c r="Q27" s="8"/>
      <c r="R27" s="8"/>
      <c r="S27" s="8"/>
      <c r="T27" s="8"/>
      <c r="U27" s="8"/>
      <c r="V27" s="8"/>
      <c r="W27" s="8"/>
      <c r="X27" s="8"/>
    </row>
    <row r="28" spans="1:24" x14ac:dyDescent="0.35">
      <c r="A28" s="8"/>
      <c r="B28" s="8"/>
      <c r="C28" s="8"/>
      <c r="D28" s="8"/>
      <c r="E28" s="8"/>
      <c r="F28" s="8"/>
      <c r="G28" s="8"/>
      <c r="H28" s="8"/>
      <c r="I28" s="8"/>
      <c r="J28" s="8"/>
      <c r="K28" s="8"/>
      <c r="L28" s="8"/>
      <c r="M28" s="8"/>
      <c r="N28" s="8"/>
      <c r="O28" s="8"/>
      <c r="P28" s="8"/>
      <c r="Q28" s="8"/>
      <c r="R28" s="8"/>
      <c r="S28" s="8"/>
      <c r="T28" s="8"/>
      <c r="U28" s="8"/>
      <c r="V28" s="8"/>
      <c r="W28" s="8"/>
      <c r="X28" s="8"/>
    </row>
    <row r="29" spans="1:24" x14ac:dyDescent="0.35">
      <c r="A29" s="8"/>
      <c r="B29" s="8"/>
      <c r="C29" s="8"/>
      <c r="D29" s="8"/>
      <c r="E29" s="8"/>
      <c r="F29" s="8"/>
      <c r="G29" s="8"/>
      <c r="H29" s="8"/>
      <c r="I29" s="8"/>
      <c r="J29" s="8"/>
      <c r="K29" s="8"/>
      <c r="L29" s="8"/>
      <c r="M29" s="8"/>
      <c r="N29" s="8"/>
      <c r="O29" s="8"/>
      <c r="P29" s="8"/>
      <c r="Q29" s="8"/>
      <c r="R29" s="8"/>
      <c r="S29" s="8"/>
      <c r="T29" s="8"/>
      <c r="U29" s="8"/>
      <c r="V29" s="8"/>
      <c r="W29" s="8"/>
      <c r="X29" s="8"/>
    </row>
    <row r="30" spans="1:24" x14ac:dyDescent="0.35">
      <c r="A30" s="8"/>
      <c r="B30" s="8"/>
      <c r="C30" s="8"/>
      <c r="D30" s="8"/>
      <c r="E30" s="8"/>
      <c r="F30" s="8"/>
      <c r="G30" s="8"/>
      <c r="H30" s="8"/>
      <c r="I30" s="8"/>
      <c r="J30" s="8"/>
      <c r="K30" s="8"/>
      <c r="L30" s="8"/>
      <c r="M30" s="8"/>
      <c r="N30" s="8"/>
      <c r="O30" s="8"/>
      <c r="P30" s="8"/>
      <c r="Q30" s="8"/>
      <c r="R30" s="8"/>
      <c r="S30" s="8"/>
      <c r="T30" s="8"/>
      <c r="U30" s="8"/>
      <c r="V30" s="8"/>
      <c r="W30" s="8"/>
      <c r="X30" s="8"/>
    </row>
    <row r="31" spans="1:24" x14ac:dyDescent="0.35">
      <c r="A31" s="8"/>
      <c r="B31" s="8"/>
      <c r="C31" s="8"/>
      <c r="D31" s="8"/>
      <c r="E31" s="8"/>
      <c r="F31" s="8"/>
      <c r="G31" s="8"/>
      <c r="H31" s="8"/>
      <c r="I31" s="8"/>
      <c r="J31" s="8"/>
      <c r="K31" s="8"/>
      <c r="L31" s="8"/>
      <c r="M31" s="8"/>
      <c r="N31" s="8"/>
      <c r="O31" s="8"/>
      <c r="P31" s="8"/>
      <c r="Q31" s="8"/>
      <c r="R31" s="8"/>
      <c r="S31" s="8"/>
      <c r="T31" s="8"/>
      <c r="U31" s="8"/>
      <c r="V31" s="8"/>
      <c r="W31" s="8"/>
      <c r="X31" s="8"/>
    </row>
    <row r="32" spans="1:24" x14ac:dyDescent="0.35">
      <c r="A32" s="8"/>
      <c r="B32" s="8"/>
      <c r="C32" s="8"/>
      <c r="D32" s="8"/>
      <c r="E32" s="8"/>
      <c r="F32" s="8"/>
      <c r="G32" s="8"/>
      <c r="H32" s="8"/>
      <c r="I32" s="8"/>
      <c r="J32" s="8"/>
      <c r="K32" s="8"/>
      <c r="L32" s="8"/>
      <c r="M32" s="8"/>
      <c r="N32" s="8"/>
      <c r="O32" s="8"/>
      <c r="P32" s="8"/>
      <c r="Q32" s="8"/>
      <c r="R32" s="8"/>
      <c r="S32" s="8"/>
      <c r="T32" s="8"/>
      <c r="U32" s="8"/>
      <c r="V32" s="8"/>
      <c r="W32" s="8"/>
      <c r="X32" s="8"/>
    </row>
    <row r="33" spans="1:24" x14ac:dyDescent="0.35">
      <c r="A33" s="8"/>
      <c r="B33" s="8"/>
      <c r="C33" s="8"/>
      <c r="D33" s="8"/>
      <c r="E33" s="8"/>
      <c r="F33" s="8"/>
      <c r="G33" s="8"/>
      <c r="H33" s="8"/>
      <c r="I33" s="8"/>
      <c r="J33" s="8"/>
      <c r="K33" s="8"/>
      <c r="L33" s="8"/>
      <c r="M33" s="8"/>
      <c r="N33" s="8"/>
      <c r="O33" s="8"/>
      <c r="P33" s="8"/>
      <c r="Q33" s="8"/>
      <c r="R33" s="8"/>
      <c r="S33" s="8"/>
      <c r="T33" s="8"/>
      <c r="U33" s="8"/>
      <c r="V33" s="8"/>
      <c r="W33" s="8"/>
      <c r="X33" s="8"/>
    </row>
    <row r="34" spans="1:24" x14ac:dyDescent="0.35">
      <c r="A34" s="8"/>
      <c r="B34" s="8"/>
      <c r="C34" s="8"/>
      <c r="D34" s="8"/>
      <c r="E34" s="8"/>
      <c r="F34" s="8"/>
      <c r="G34" s="8"/>
      <c r="H34" s="8"/>
      <c r="I34" s="8"/>
      <c r="J34" s="8"/>
      <c r="K34" s="8"/>
      <c r="L34" s="8"/>
      <c r="M34" s="8"/>
      <c r="N34" s="8"/>
      <c r="O34" s="8"/>
      <c r="P34" s="8"/>
      <c r="Q34" s="8"/>
      <c r="R34" s="8"/>
      <c r="S34" s="8"/>
      <c r="T34" s="8"/>
      <c r="U34" s="8"/>
      <c r="V34" s="8"/>
      <c r="W34" s="8"/>
      <c r="X34" s="8"/>
    </row>
    <row r="35" spans="1:24" x14ac:dyDescent="0.35">
      <c r="A35" s="8"/>
      <c r="B35" s="8"/>
      <c r="C35" s="8"/>
      <c r="D35" s="8"/>
      <c r="E35" s="8"/>
      <c r="F35" s="8"/>
      <c r="G35" s="8"/>
      <c r="H35" s="8"/>
      <c r="I35" s="8"/>
      <c r="J35" s="8"/>
      <c r="K35" s="8"/>
      <c r="L35" s="8"/>
      <c r="M35" s="8"/>
      <c r="N35" s="8"/>
      <c r="O35" s="8"/>
      <c r="P35" s="8"/>
      <c r="Q35" s="8"/>
      <c r="R35" s="8"/>
      <c r="S35" s="8"/>
      <c r="T35" s="8"/>
      <c r="U35" s="8"/>
      <c r="V35" s="8"/>
      <c r="W35" s="8"/>
      <c r="X35" s="8"/>
    </row>
    <row r="36" spans="1:24" x14ac:dyDescent="0.35">
      <c r="A36" s="8"/>
      <c r="B36" s="8"/>
      <c r="C36" s="8"/>
      <c r="D36" s="8"/>
      <c r="E36" s="8"/>
      <c r="F36" s="8"/>
      <c r="G36" s="8"/>
      <c r="H36" s="8"/>
      <c r="I36" s="8"/>
      <c r="J36" s="8"/>
      <c r="K36" s="8"/>
      <c r="L36" s="8"/>
      <c r="M36" s="8"/>
      <c r="N36" s="8"/>
      <c r="O36" s="8"/>
      <c r="P36" s="8"/>
      <c r="Q36" s="8"/>
      <c r="R36" s="8"/>
      <c r="S36" s="8"/>
      <c r="T36" s="8"/>
      <c r="U36" s="8"/>
      <c r="V36" s="8"/>
      <c r="W36" s="8"/>
      <c r="X36" s="8"/>
    </row>
    <row r="37" spans="1:24" x14ac:dyDescent="0.35">
      <c r="A37" s="8"/>
      <c r="B37" s="8"/>
      <c r="C37" s="8"/>
      <c r="D37" s="8"/>
      <c r="E37" s="8"/>
      <c r="F37" s="8"/>
      <c r="G37" s="8"/>
      <c r="H37" s="8"/>
      <c r="I37" s="8"/>
      <c r="J37" s="8"/>
      <c r="K37" s="8"/>
      <c r="L37" s="8"/>
      <c r="M37" s="8"/>
      <c r="N37" s="8"/>
      <c r="O37" s="8"/>
      <c r="P37" s="8"/>
      <c r="Q37" s="8"/>
      <c r="R37" s="8"/>
      <c r="S37" s="8"/>
      <c r="T37" s="8"/>
      <c r="U37" s="8"/>
      <c r="V37" s="8"/>
      <c r="W37" s="8"/>
      <c r="X37" s="8"/>
    </row>
    <row r="38" spans="1:24" x14ac:dyDescent="0.35">
      <c r="A38" s="8"/>
      <c r="B38" s="8"/>
      <c r="C38" s="8"/>
      <c r="D38" s="8"/>
      <c r="E38" s="8"/>
      <c r="F38" s="8"/>
      <c r="G38" s="8"/>
      <c r="H38" s="8"/>
      <c r="I38" s="8"/>
      <c r="J38" s="8"/>
      <c r="K38" s="8"/>
      <c r="L38" s="8"/>
      <c r="M38" s="8"/>
      <c r="N38" s="8"/>
      <c r="O38" s="8"/>
      <c r="P38" s="8"/>
      <c r="Q38" s="8"/>
      <c r="R38" s="8"/>
      <c r="S38" s="8"/>
      <c r="T38" s="8"/>
      <c r="U38" s="8"/>
      <c r="V38" s="8"/>
      <c r="W38" s="8"/>
      <c r="X38" s="8"/>
    </row>
    <row r="39" spans="1:24" x14ac:dyDescent="0.35">
      <c r="A39" s="8"/>
      <c r="B39" s="8"/>
      <c r="C39" s="8"/>
      <c r="D39" s="8"/>
      <c r="E39" s="8"/>
      <c r="F39" s="8"/>
      <c r="G39" s="8"/>
      <c r="H39" s="8"/>
      <c r="I39" s="8"/>
      <c r="J39" s="8"/>
      <c r="K39" s="8"/>
      <c r="L39" s="8"/>
      <c r="M39" s="8"/>
      <c r="N39" s="8"/>
      <c r="O39" s="8"/>
      <c r="P39" s="8"/>
      <c r="Q39" s="8"/>
      <c r="R39" s="8"/>
      <c r="S39" s="8"/>
      <c r="T39" s="8"/>
      <c r="U39" s="8"/>
      <c r="V39" s="8"/>
      <c r="W39" s="8"/>
      <c r="X3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8458-89E5-48B9-93BF-5743C7148A7F}">
  <dimension ref="A1:V25"/>
  <sheetViews>
    <sheetView showRowColHeaders="0" zoomScale="85" zoomScaleNormal="85" workbookViewId="0">
      <selection activeCell="V19" sqref="V19"/>
    </sheetView>
  </sheetViews>
  <sheetFormatPr defaultRowHeight="14.5" x14ac:dyDescent="0.35"/>
  <sheetData>
    <row r="1" spans="1:22" x14ac:dyDescent="0.35">
      <c r="A1" s="12"/>
      <c r="B1" s="12"/>
      <c r="C1" s="12"/>
      <c r="D1" s="12"/>
      <c r="E1" s="12"/>
      <c r="F1" s="12"/>
      <c r="G1" s="12"/>
      <c r="H1" s="12"/>
      <c r="I1" s="12"/>
      <c r="J1" s="12"/>
      <c r="K1" s="12"/>
      <c r="L1" s="12"/>
      <c r="M1" s="12"/>
      <c r="N1" s="12"/>
      <c r="O1" s="12"/>
      <c r="P1" s="12"/>
      <c r="Q1" s="12"/>
      <c r="R1" s="12"/>
      <c r="S1" s="12"/>
      <c r="T1" s="12"/>
      <c r="U1" s="12"/>
    </row>
    <row r="2" spans="1:22" x14ac:dyDescent="0.35">
      <c r="B2" s="1"/>
      <c r="C2" s="1"/>
      <c r="D2" s="1"/>
      <c r="E2" s="1"/>
      <c r="F2" s="1"/>
      <c r="G2" s="1"/>
      <c r="H2" s="1"/>
      <c r="I2" s="1"/>
      <c r="J2" s="1"/>
      <c r="K2" s="1"/>
      <c r="L2" s="1"/>
      <c r="M2" s="1"/>
      <c r="N2" s="1"/>
      <c r="O2" s="1"/>
      <c r="P2" s="1"/>
      <c r="Q2" s="1"/>
      <c r="R2" s="1"/>
      <c r="S2" s="1"/>
      <c r="T2" s="1"/>
    </row>
    <row r="3" spans="1:22" x14ac:dyDescent="0.35">
      <c r="B3" s="1"/>
      <c r="C3" s="1"/>
      <c r="D3" s="1"/>
      <c r="E3" s="1"/>
      <c r="F3" s="1"/>
      <c r="G3" s="1"/>
      <c r="H3" s="1"/>
      <c r="I3" s="1"/>
      <c r="J3" s="1"/>
      <c r="K3" s="1"/>
      <c r="L3" s="1"/>
      <c r="M3" s="1"/>
      <c r="N3" s="1"/>
      <c r="O3" s="1"/>
      <c r="P3" s="1"/>
      <c r="Q3" s="1"/>
      <c r="R3" s="1"/>
      <c r="S3" s="1"/>
      <c r="T3" s="1"/>
    </row>
    <row r="4" spans="1:22" x14ac:dyDescent="0.35">
      <c r="B4" s="1"/>
      <c r="C4" s="1"/>
      <c r="D4" s="1"/>
      <c r="E4" s="1"/>
      <c r="F4" s="1"/>
      <c r="G4" s="1"/>
      <c r="H4" s="1"/>
      <c r="I4" s="1"/>
      <c r="J4" s="1"/>
      <c r="K4" s="1"/>
      <c r="L4" s="1"/>
      <c r="M4" s="1"/>
      <c r="N4" s="1"/>
      <c r="O4" s="1"/>
      <c r="P4" s="1"/>
      <c r="Q4" s="1"/>
      <c r="R4" s="1"/>
      <c r="S4" s="1"/>
      <c r="T4" s="1"/>
    </row>
    <row r="5" spans="1:22" x14ac:dyDescent="0.35">
      <c r="B5" s="1"/>
      <c r="C5" s="1"/>
      <c r="D5" s="1"/>
      <c r="E5" s="1"/>
      <c r="F5" s="1"/>
      <c r="G5" s="1"/>
      <c r="H5" s="1"/>
      <c r="I5" s="1"/>
      <c r="J5" s="1"/>
      <c r="K5" s="1"/>
      <c r="L5" s="1"/>
      <c r="M5" s="1"/>
      <c r="N5" s="1"/>
      <c r="O5" s="1"/>
      <c r="P5" s="1"/>
      <c r="Q5" s="1"/>
      <c r="R5" s="1"/>
      <c r="S5" s="1"/>
      <c r="T5" s="1"/>
    </row>
    <row r="6" spans="1:22" x14ac:dyDescent="0.35">
      <c r="B6" s="1"/>
      <c r="C6" s="1"/>
      <c r="D6" s="1"/>
      <c r="E6" s="1"/>
      <c r="F6" s="1"/>
      <c r="G6" s="1"/>
      <c r="H6" s="1"/>
      <c r="I6" s="1"/>
      <c r="J6" s="1"/>
      <c r="K6" s="1"/>
      <c r="L6" s="1"/>
      <c r="M6" s="1"/>
      <c r="N6" s="1"/>
      <c r="O6" s="1"/>
      <c r="P6" s="1"/>
      <c r="Q6" s="1"/>
      <c r="R6" s="1"/>
      <c r="S6" s="1"/>
      <c r="T6" s="1"/>
    </row>
    <row r="7" spans="1:22" x14ac:dyDescent="0.35">
      <c r="B7" s="1"/>
      <c r="C7" s="1"/>
      <c r="D7" s="1"/>
      <c r="E7" s="1"/>
      <c r="F7" s="1"/>
      <c r="G7" s="1"/>
      <c r="H7" s="1"/>
      <c r="I7" s="1"/>
      <c r="J7" s="1"/>
      <c r="K7" s="1"/>
      <c r="L7" s="1"/>
      <c r="M7" s="1"/>
      <c r="N7" s="1"/>
      <c r="O7" s="1"/>
      <c r="P7" s="1"/>
      <c r="Q7" s="1"/>
      <c r="R7" s="1"/>
      <c r="S7" s="1"/>
      <c r="T7" s="1"/>
    </row>
    <row r="8" spans="1:22" x14ac:dyDescent="0.35">
      <c r="B8" s="1"/>
      <c r="C8" s="1"/>
      <c r="D8" s="1"/>
      <c r="E8" s="1"/>
      <c r="F8" s="1"/>
      <c r="G8" s="1"/>
      <c r="H8" s="1"/>
      <c r="I8" s="1"/>
      <c r="J8" s="1"/>
      <c r="K8" s="1"/>
      <c r="L8" s="1"/>
      <c r="M8" s="1"/>
      <c r="N8" s="1"/>
      <c r="O8" s="1"/>
      <c r="P8" s="1"/>
      <c r="Q8" s="1"/>
      <c r="R8" s="1"/>
      <c r="S8" s="1"/>
      <c r="T8" s="1"/>
    </row>
    <row r="9" spans="1:22" x14ac:dyDescent="0.35">
      <c r="B9" s="1"/>
      <c r="C9" s="1"/>
      <c r="D9" s="1"/>
      <c r="E9" s="1"/>
      <c r="F9" s="1"/>
      <c r="G9" s="1"/>
      <c r="H9" s="1"/>
      <c r="I9" s="1"/>
      <c r="J9" s="1"/>
      <c r="K9" s="1"/>
      <c r="L9" s="1"/>
      <c r="M9" s="1"/>
      <c r="N9" s="1"/>
      <c r="O9" s="1"/>
      <c r="P9" s="1"/>
      <c r="Q9" s="1"/>
      <c r="R9" s="1"/>
      <c r="S9" s="1"/>
      <c r="T9" s="1"/>
      <c r="V9" t="s">
        <v>365</v>
      </c>
    </row>
    <row r="10" spans="1:22" x14ac:dyDescent="0.35">
      <c r="B10" s="1"/>
      <c r="C10" s="1"/>
      <c r="D10" s="1"/>
      <c r="E10" s="1"/>
      <c r="F10" s="1"/>
      <c r="G10" s="1"/>
      <c r="H10" s="1"/>
      <c r="I10" s="1"/>
      <c r="J10" s="1"/>
      <c r="K10" s="1"/>
      <c r="L10" s="1"/>
      <c r="M10" s="1"/>
      <c r="N10" s="1"/>
      <c r="O10" s="1"/>
      <c r="P10" s="1"/>
      <c r="Q10" s="1"/>
      <c r="R10" s="1"/>
      <c r="S10" s="1"/>
      <c r="T10" s="1"/>
    </row>
    <row r="11" spans="1:22" x14ac:dyDescent="0.35">
      <c r="B11" s="1"/>
      <c r="C11" s="2"/>
      <c r="D11" s="1"/>
      <c r="E11" s="1"/>
      <c r="F11" s="1"/>
      <c r="G11" s="1"/>
      <c r="H11" s="1"/>
      <c r="I11" s="1"/>
      <c r="J11" s="1"/>
      <c r="K11" s="1"/>
      <c r="L11" s="1"/>
      <c r="M11" s="1"/>
      <c r="N11" s="1"/>
      <c r="O11" s="1"/>
      <c r="P11" s="1"/>
      <c r="Q11" s="1"/>
      <c r="R11" s="1"/>
      <c r="S11" s="1"/>
      <c r="T11" s="1"/>
    </row>
    <row r="12" spans="1:22" x14ac:dyDescent="0.35">
      <c r="B12" s="1"/>
      <c r="C12" s="1"/>
      <c r="D12" s="1"/>
      <c r="E12" s="1"/>
      <c r="F12" s="1"/>
      <c r="G12" s="1"/>
      <c r="H12" s="1"/>
      <c r="I12" s="1"/>
      <c r="J12" s="1"/>
      <c r="K12" s="1"/>
      <c r="L12" s="1"/>
      <c r="M12" s="1"/>
      <c r="N12" s="1"/>
      <c r="O12" s="1"/>
      <c r="P12" s="1"/>
      <c r="Q12" s="1"/>
      <c r="R12" s="1"/>
      <c r="S12" s="1"/>
      <c r="T12" s="1"/>
    </row>
    <row r="13" spans="1:22" x14ac:dyDescent="0.35">
      <c r="B13" s="1"/>
      <c r="C13" s="1"/>
      <c r="D13" s="1"/>
      <c r="E13" s="1"/>
      <c r="F13" s="1"/>
      <c r="G13" s="1"/>
      <c r="H13" s="1"/>
      <c r="I13" s="1"/>
      <c r="J13" s="1"/>
      <c r="K13" s="1"/>
      <c r="L13" s="1"/>
      <c r="M13" s="1"/>
      <c r="N13" s="1"/>
      <c r="O13" s="1"/>
      <c r="P13" s="1"/>
      <c r="Q13" s="1"/>
      <c r="R13" s="1"/>
      <c r="S13" s="1"/>
      <c r="T13" s="1"/>
    </row>
    <row r="14" spans="1:22" x14ac:dyDescent="0.35">
      <c r="B14" s="1"/>
      <c r="C14" s="1"/>
      <c r="D14" s="1"/>
      <c r="E14" s="1"/>
      <c r="F14" s="1"/>
      <c r="G14" s="1"/>
      <c r="H14" s="1"/>
      <c r="I14" s="1"/>
      <c r="J14" s="1"/>
      <c r="K14" s="1"/>
      <c r="L14" s="1"/>
      <c r="M14" s="1"/>
      <c r="N14" s="1"/>
      <c r="O14" s="1"/>
      <c r="P14" s="1"/>
      <c r="Q14" s="1"/>
      <c r="R14" s="1"/>
      <c r="S14" s="1"/>
      <c r="T14" s="1"/>
    </row>
    <row r="15" spans="1:22" x14ac:dyDescent="0.35">
      <c r="B15" s="1"/>
      <c r="C15" s="1"/>
      <c r="D15" s="1"/>
      <c r="E15" s="1"/>
      <c r="F15" s="1"/>
      <c r="G15" s="1"/>
      <c r="H15" s="1"/>
      <c r="I15" s="1"/>
      <c r="J15" s="1"/>
      <c r="K15" s="1"/>
      <c r="L15" s="1"/>
      <c r="M15" s="1"/>
      <c r="N15" s="1"/>
      <c r="O15" s="1"/>
      <c r="P15" s="1"/>
      <c r="Q15" s="1"/>
      <c r="R15" s="1"/>
      <c r="S15" s="1"/>
      <c r="T15" s="1"/>
    </row>
    <row r="16" spans="1:22" x14ac:dyDescent="0.35">
      <c r="B16" s="1"/>
      <c r="C16" s="1"/>
      <c r="D16" s="1"/>
      <c r="E16" s="1"/>
      <c r="F16" s="1"/>
      <c r="G16" s="1"/>
      <c r="H16" s="1"/>
      <c r="I16" s="1"/>
      <c r="J16" s="1"/>
      <c r="K16" s="1"/>
      <c r="L16" s="1"/>
      <c r="M16" s="1"/>
      <c r="N16" s="1"/>
      <c r="O16" s="1"/>
      <c r="P16" s="1"/>
      <c r="Q16" s="1"/>
      <c r="R16" s="1"/>
      <c r="S16" s="1"/>
      <c r="T16" s="1"/>
    </row>
    <row r="17" spans="2:20" x14ac:dyDescent="0.35">
      <c r="B17" s="1"/>
      <c r="C17" s="1"/>
      <c r="D17" s="1"/>
      <c r="E17" s="1"/>
      <c r="F17" s="1"/>
      <c r="G17" s="1"/>
      <c r="H17" s="1"/>
      <c r="I17" s="1"/>
      <c r="J17" s="1"/>
      <c r="K17" s="1"/>
      <c r="L17" s="1"/>
      <c r="M17" s="1"/>
      <c r="N17" s="1"/>
      <c r="O17" s="1"/>
      <c r="P17" s="1"/>
      <c r="Q17" s="1"/>
      <c r="R17" s="1"/>
      <c r="S17" s="1"/>
      <c r="T17" s="1"/>
    </row>
    <row r="18" spans="2:20" x14ac:dyDescent="0.35">
      <c r="B18" s="1"/>
      <c r="C18" s="1"/>
      <c r="D18" s="1"/>
      <c r="E18" s="1"/>
      <c r="F18" s="1"/>
      <c r="G18" s="1"/>
      <c r="H18" s="1"/>
      <c r="I18" s="1"/>
      <c r="J18" s="1"/>
      <c r="K18" s="1"/>
      <c r="L18" s="1"/>
      <c r="M18" s="1"/>
      <c r="N18" s="1"/>
      <c r="O18" s="1"/>
      <c r="P18" s="1"/>
      <c r="Q18" s="1"/>
      <c r="R18" s="1"/>
      <c r="S18" s="1"/>
      <c r="T18" s="1"/>
    </row>
    <row r="19" spans="2:20" x14ac:dyDescent="0.35">
      <c r="B19" s="1"/>
      <c r="C19" s="1"/>
      <c r="D19" s="1"/>
      <c r="E19" s="1"/>
      <c r="F19" s="1"/>
      <c r="G19" s="1"/>
      <c r="H19" s="1"/>
      <c r="I19" s="1"/>
      <c r="J19" s="1"/>
      <c r="K19" s="1"/>
      <c r="L19" s="1"/>
      <c r="M19" s="1"/>
      <c r="N19" s="1"/>
      <c r="O19" s="1"/>
      <c r="P19" s="1"/>
      <c r="Q19" s="1"/>
      <c r="R19" s="1"/>
      <c r="S19" s="1"/>
      <c r="T19" s="1"/>
    </row>
    <row r="20" spans="2:20" x14ac:dyDescent="0.35">
      <c r="B20" s="1"/>
      <c r="C20" s="1"/>
      <c r="D20" s="1"/>
      <c r="E20" s="1"/>
      <c r="F20" s="1"/>
      <c r="G20" s="1"/>
      <c r="H20" s="1"/>
      <c r="I20" s="1"/>
      <c r="J20" s="1"/>
      <c r="K20" s="1"/>
      <c r="L20" s="1"/>
      <c r="M20" s="1"/>
      <c r="N20" s="1"/>
      <c r="O20" s="1"/>
      <c r="P20" s="1"/>
      <c r="Q20" s="1"/>
      <c r="R20" s="1"/>
      <c r="S20" s="1"/>
      <c r="T20" s="1"/>
    </row>
    <row r="21" spans="2:20" x14ac:dyDescent="0.35">
      <c r="B21" s="1"/>
      <c r="C21" s="1"/>
      <c r="D21" s="1"/>
      <c r="E21" s="1"/>
      <c r="F21" s="1"/>
      <c r="G21" s="1"/>
      <c r="H21" s="1"/>
      <c r="I21" s="1"/>
      <c r="J21" s="1"/>
      <c r="K21" s="1"/>
      <c r="L21" s="1"/>
      <c r="M21" s="1"/>
      <c r="N21" s="1"/>
      <c r="O21" s="1"/>
      <c r="P21" s="1"/>
      <c r="Q21" s="1"/>
      <c r="R21" s="1"/>
      <c r="S21" s="1"/>
      <c r="T21" s="1"/>
    </row>
    <row r="22" spans="2:20" x14ac:dyDescent="0.35">
      <c r="B22" s="1"/>
      <c r="C22" s="1" t="s">
        <v>377</v>
      </c>
      <c r="D22" s="1"/>
      <c r="E22" s="1"/>
      <c r="F22" s="1"/>
      <c r="G22" s="1"/>
      <c r="H22" s="1"/>
      <c r="I22" s="1"/>
      <c r="J22" s="1"/>
      <c r="K22" s="1"/>
      <c r="L22" s="1"/>
      <c r="M22" s="1"/>
      <c r="N22" s="1"/>
      <c r="O22" s="1"/>
      <c r="P22" s="1"/>
      <c r="Q22" s="1"/>
      <c r="R22" s="1"/>
      <c r="S22" s="1"/>
      <c r="T22" s="1"/>
    </row>
    <row r="23" spans="2:20" x14ac:dyDescent="0.35">
      <c r="B23" s="1"/>
      <c r="C23" s="1"/>
      <c r="D23" s="1"/>
      <c r="E23" s="1"/>
      <c r="F23" s="1"/>
      <c r="G23" s="1"/>
      <c r="H23" s="1"/>
      <c r="I23" s="1"/>
      <c r="J23" s="1"/>
      <c r="K23" s="1"/>
      <c r="L23" s="1"/>
      <c r="M23" s="1"/>
      <c r="N23" s="1"/>
      <c r="O23" s="1"/>
      <c r="P23" s="1"/>
      <c r="Q23" s="1"/>
      <c r="R23" s="1"/>
      <c r="S23" s="1"/>
      <c r="T23" s="1"/>
    </row>
    <row r="24" spans="2:20" x14ac:dyDescent="0.35">
      <c r="B24" s="1"/>
      <c r="C24" s="1"/>
      <c r="D24" s="1"/>
      <c r="E24" s="1"/>
      <c r="F24" s="1"/>
      <c r="G24" s="1"/>
      <c r="H24" s="1"/>
      <c r="I24" s="1"/>
      <c r="J24" s="1"/>
      <c r="K24" s="1"/>
      <c r="L24" s="1"/>
      <c r="M24" s="1"/>
      <c r="N24" s="1"/>
      <c r="O24" s="1"/>
      <c r="P24" s="1"/>
      <c r="Q24" s="1"/>
      <c r="R24" s="1"/>
      <c r="S24" s="1"/>
      <c r="T24" s="1"/>
    </row>
    <row r="25" spans="2:20" x14ac:dyDescent="0.35">
      <c r="B25" s="1"/>
      <c r="C25" s="1"/>
      <c r="D25" s="1"/>
      <c r="E25" s="1"/>
      <c r="F25" s="1"/>
      <c r="G25" s="1"/>
      <c r="H25" s="1"/>
      <c r="I25" s="1"/>
      <c r="J25" s="1"/>
      <c r="K25" s="1"/>
      <c r="L25" s="1"/>
      <c r="M25" s="1"/>
      <c r="N25" s="1"/>
      <c r="O25" s="1"/>
      <c r="P25" s="1"/>
      <c r="Q25" s="1"/>
      <c r="R25" s="1"/>
      <c r="S25" s="1"/>
      <c r="T25" s="1"/>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722603-08A8-486E-94C2-D01BA1E60C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Pivot Tables</vt:lpstr>
      <vt:lpstr>Dashboard</vt:lpstr>
      <vt:lpstr>sketch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saint millie</dc:creator>
  <cp:lastModifiedBy>saint millie</cp:lastModifiedBy>
  <cp:lastPrinted>2026-07-13T11:07:42Z</cp:lastPrinted>
  <dcterms:created xsi:type="dcterms:W3CDTF">2026-07-12T13:34:37Z</dcterms:created>
  <dcterms:modified xsi:type="dcterms:W3CDTF">2026-07-24T17:39:53Z</dcterms:modified>
</cp:coreProperties>
</file>